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8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reeders" sheetId="2" state="visible" r:id="rId4"/>
    <sheet name="Pairs" sheetId="3" state="visible" r:id="rId5"/>
    <sheet name="Cages" sheetId="4" state="visible" r:id="rId6"/>
    <sheet name="Mice" sheetId="5" state="visible" r:id="rId7"/>
    <sheet name="Lines" sheetId="6" state="visible" r:id="rId8"/>
    <sheet name="Litters" sheetId="7" state="visible" r:id="rId9"/>
    <sheet name="Procedures" sheetId="8" state="visible" r:id="rId10"/>
    <sheet name="Terminated" sheetId="9" state="visible" r:id="rId11"/>
    <sheet name="Issues" sheetId="10" state="visible" r:id="rId12"/>
    <sheet name="Settings" sheetId="11" state="visible" r:id="rId13"/>
    <sheet name="Strains" sheetId="12" state="visible" r:id="rId14"/>
    <sheet name="Archive Mice 2026-10-21" sheetId="13" state="visible" r:id="rId15"/>
    <sheet name="Archive Mice old" sheetId="14" state="visible" r:id="rId16"/>
    <sheet name="Archive tenyészpárok" sheetId="15" state="visible" r:id="rId17"/>
  </sheets>
  <definedNames>
    <definedName function="false" hidden="true" localSheetId="12" name="_xlnm._FilterDatabase" vbProcedure="false">'Archive Mice 2026-10-21'!$B$1:$O$116</definedName>
    <definedName function="false" hidden="true" localSheetId="13" name="_xlnm._FilterDatabase" vbProcedure="false">'Archive Mice old'!$B$1:$N$144</definedName>
    <definedName function="false" hidden="true" localSheetId="1" name="_xlnm._FilterDatabase" vbProcedure="false">Breeders!$A$1:$N$1000</definedName>
    <definedName function="false" hidden="true" localSheetId="3" name="_xlnm._FilterDatabase" vbProcedure="false">Cages!$A$1:$N$1000</definedName>
    <definedName function="false" hidden="true" localSheetId="9" name="_xlnm._FilterDatabase" vbProcedure="false">Issues!$A$1:$E$1000</definedName>
    <definedName function="false" hidden="true" localSheetId="5" name="_xlnm._FilterDatabase" vbProcedure="false">Lines!$A$1:$N$1000</definedName>
    <definedName function="false" hidden="true" localSheetId="6" name="_xlnm._FilterDatabase" vbProcedure="false">Litters!$A$1:$K$1000</definedName>
    <definedName function="false" hidden="true" localSheetId="4" name="_xlnm._FilterDatabase" vbProcedure="false">Mice!$A$1:$N$5000</definedName>
    <definedName function="false" hidden="true" localSheetId="2" name="_xlnm._FilterDatabase" vbProcedure="false">Pairs!$A$1:$N$1000</definedName>
    <definedName function="false" hidden="true" localSheetId="7" name="_xlnm._FilterDatabase" vbProcedure="false">Procedures!$A$1:$K$1000</definedName>
    <definedName function="false" hidden="true" localSheetId="8" name="_xlnm._FilterDatabase" vbProcedure="false">Terminated!$A$1:$Q$1000</definedName>
    <definedName function="false" hidden="false" name="MaxAge" vbProcedure="false">Settings!$B$2</definedName>
    <definedName function="false" hidden="false" name="MinAge" vbProcedure="false">Settings!$B$4</definedName>
    <definedName function="false" hidden="false" name="StartMax" vbProcedure="false">Settings!$B$5</definedName>
    <definedName function="false" hidden="false" name="WarnDays" vbProcedure="false">Settings!$B$3</definedName>
    <definedName function="false" hidden="true" localSheetId="12" name="Z_7177EFEB_8EF5_474E_BB35_B90649F8951C_.wvu.FilterData" vbProcedure="false">Mice!$B$1:$O$116</definedName>
    <definedName function="false" hidden="true" localSheetId="13" name="Z_7177EFEB_8EF5_474E_BB35_B90649F8951C_.wvu.FilterData" vbProcedure="false">'mice old'!$b$1:$n$144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Breeding = in a pair now; Reserve = set aside to breed; Retired = no longer breeding. Never delete rows: parents are needed for the relatedness check.</t>
        </r>
      </text>
    </comment>
    <comment ref="G1" authorId="0">
      <text>
        <r>
          <rPr>
            <sz val="10"/>
            <rFont val="Arial"/>
            <family val="2"/>
          </rPr>
          <t xml:space="preserve">ID of the father. Leave blank for founders / unknown. The parent must have its own row (status Retired is fine).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Parents of the animals in this cage. Fill only when every animal in the cage comes from the same litter. The tool fills this when you wean a litter.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Lines a breeder may come from when setting up a pair of this line, separated by ";". Blank = same line only.</t>
        </r>
      </text>
    </comment>
  </commentList>
</comments>
</file>

<file path=xl/sharedStrings.xml><?xml version="1.0" encoding="utf-8"?>
<sst xmlns="http://schemas.openxmlformats.org/spreadsheetml/2006/main" count="2773" uniqueCount="698">
  <si>
    <t xml:space="preserve">Völgyi lab mouse colony</t>
  </si>
  <si>
    <t xml:space="preserve">Converted from Volgyi_mice.xlsx on 2026-10-25. The original sheets are kept unchanged as "Archive ..." tabs.</t>
  </si>
  <si>
    <t xml:space="preserve">Sheets</t>
  </si>
  <si>
    <t xml:space="preserve">Breeders - one row per breeding animal (ID, line, sex, birth, cage, status, sire, dam). Age flag turns amber 60 days before 1 year and red at 1 year.</t>
  </si>
  <si>
    <t xml:space="preserve">Pairs - one row per breeding cage, pointing to Breeder IDs. Shows each animal's age, the oldest animal, and a "replace by" date.</t>
  </si>
  <si>
    <t xml:space="preserve">Cages - the cage list (same as the old Mice sheet), with real dates and a "Breeder candidate" flag for young stock.</t>
  </si>
  <si>
    <t xml:space="preserve">Lines - per line: allowed partner lines, whether it must always be kept, and a status (no active pair / pair over age / plan replacement).</t>
  </si>
  <si>
    <t xml:space="preserve">Litters - log of litters and where they were weaned.  Issues - data problems found in the conversion.  Settings - the age limits.</t>
  </si>
  <si>
    <t xml:space="preserve">Colour key</t>
  </si>
  <si>
    <t xml:space="preserve">Dark blue headers: columns you type in.  Grey headers and grey cells: formulas, do not type there.  Yellow cells on Settings: limits you can change.</t>
  </si>
  <si>
    <t xml:space="preserve">Age flag: green OK, amber Replace soon, red OVER AGE, blue Too young, grey NO DATE.</t>
  </si>
  <si>
    <t xml:space="preserve">How relatedness works</t>
  </si>
  <si>
    <t xml:space="preserve">The relatedness check needs parents. Give every breeder its Sire ID and Dam ID. When you wean a litter, write the parents' IDs into the cage row (Sire ID / Dam ID) - only if the whole cage is one litter.</t>
  </si>
  <si>
    <t xml:space="preserve">Never delete a breeder row: set Status to Retired. Its offspring still point to it.</t>
  </si>
  <si>
    <t xml:space="preserve">Animals imported today have no parents recorded, so they count as unrelated founders. Pedigree warnings start working from the next generation.</t>
  </si>
  <si>
    <t xml:space="preserve">Daily use</t>
  </si>
  <si>
    <t xml:space="preserve">Open the workbook in mouse_colony_tool.py for the age overview, the pairing check (relatedness + age), pair suggestions per line, and to add breeders, pairs and weaned litters.</t>
  </si>
  <si>
    <t xml:space="preserve">Or edit in Excel directly; the flags update every time the file is opened. Keep the tool and Excel from editing the file at the same time.</t>
  </si>
  <si>
    <t xml:space="preserve">Example: weaning a litter</t>
  </si>
  <si>
    <t xml:space="preserve">Pair IIA3c (male B016 x female B017) has pups born 2026-11-02. At weaning, 3 females go to empty cage IB9a: Cages row IB9a -&gt; Line FL-Cx36KO, Sex F, Count 3, Birth 2026-11-02, Sire ID B016, Dam ID B017. Add a Litters row too.</t>
  </si>
  <si>
    <t xml:space="preserve">ID</t>
  </si>
  <si>
    <t xml:space="preserve">Line</t>
  </si>
  <si>
    <t xml:space="preserve">Sex</t>
  </si>
  <si>
    <t xml:space="preserve">Birth</t>
  </si>
  <si>
    <t xml:space="preserve">Cage</t>
  </si>
  <si>
    <t xml:space="preserve">Status</t>
  </si>
  <si>
    <t xml:space="preserve">Sire ID</t>
  </si>
  <si>
    <t xml:space="preserve">Dam ID</t>
  </si>
  <si>
    <t xml:space="preserve">Notes</t>
  </si>
  <si>
    <t xml:space="preserve">Age (days)</t>
  </si>
  <si>
    <t xml:space="preserve">Age (months)</t>
  </si>
  <si>
    <t xml:space="preserve">Age flag</t>
  </si>
  <si>
    <t xml:space="preserve">Retire by</t>
  </si>
  <si>
    <t xml:space="preserve">Genotype</t>
  </si>
  <si>
    <t xml:space="preserve">B001</t>
  </si>
  <si>
    <t xml:space="preserve">GCaMP3-Thy1</t>
  </si>
  <si>
    <t xml:space="preserve">F</t>
  </si>
  <si>
    <t xml:space="preserve">IB2a</t>
  </si>
  <si>
    <t xml:space="preserve">Breeding</t>
  </si>
  <si>
    <t xml:space="preserve">Imported from cage IB2a</t>
  </si>
  <si>
    <t xml:space="preserve">B002</t>
  </si>
  <si>
    <t xml:space="preserve">M</t>
  </si>
  <si>
    <t xml:space="preserve">B003</t>
  </si>
  <si>
    <t xml:space="preserve">C57Bl6J</t>
  </si>
  <si>
    <t xml:space="preserve">IB2d</t>
  </si>
  <si>
    <t xml:space="preserve">Imported from cage IB2d</t>
  </si>
  <si>
    <t xml:space="preserve">B004</t>
  </si>
  <si>
    <t xml:space="preserve">CX3CR1KO + Bl6</t>
  </si>
  <si>
    <t xml:space="preserve">B005</t>
  </si>
  <si>
    <t xml:space="preserve">IB2e</t>
  </si>
  <si>
    <t xml:space="preserve">Imported from cage IB2e</t>
  </si>
  <si>
    <t xml:space="preserve">B006</t>
  </si>
  <si>
    <t xml:space="preserve">Imported from cage IB2e; Cx3cr1 (-/-) per cage card</t>
  </si>
  <si>
    <t xml:space="preserve">Cx3cr1-KO: hom</t>
  </si>
  <si>
    <t xml:space="preserve">B007</t>
  </si>
  <si>
    <t xml:space="preserve">IB3d</t>
  </si>
  <si>
    <t xml:space="preserve">Imported from cage IB3d</t>
  </si>
  <si>
    <t xml:space="preserve">B008</t>
  </si>
  <si>
    <t xml:space="preserve">Imported from cage IB3d; Cx3cr1 (-/-) per cage card</t>
  </si>
  <si>
    <t xml:space="preserve">B009</t>
  </si>
  <si>
    <t xml:space="preserve">B010</t>
  </si>
  <si>
    <t xml:space="preserve">IB7c</t>
  </si>
  <si>
    <t xml:space="preserve">Retired</t>
  </si>
  <si>
    <t xml:space="preserve">Imported from cage IB7c. Card 2026-10-25: female removed, male alone in IB7c</t>
  </si>
  <si>
    <t xml:space="preserve">B011</t>
  </si>
  <si>
    <t xml:space="preserve">Imported from cage IB7c. Crossed off the IB7c card (removed); Cx3cr1 (-/-) per cage card</t>
  </si>
  <si>
    <t xml:space="preserve">B012</t>
  </si>
  <si>
    <t xml:space="preserve">Cx36KO + PV-Cre</t>
  </si>
  <si>
    <t xml:space="preserve">IIA1b</t>
  </si>
  <si>
    <t xml:space="preserve">Imported from cage IIA1b</t>
  </si>
  <si>
    <t xml:space="preserve">B013</t>
  </si>
  <si>
    <t xml:space="preserve">B014</t>
  </si>
  <si>
    <t xml:space="preserve">PV-Cre</t>
  </si>
  <si>
    <t xml:space="preserve">IIA2e</t>
  </si>
  <si>
    <t xml:space="preserve">Imported from cage IIA2e</t>
  </si>
  <si>
    <t xml:space="preserve">B015</t>
  </si>
  <si>
    <t xml:space="preserve">B016</t>
  </si>
  <si>
    <t xml:space="preserve">FL-Cx36KO</t>
  </si>
  <si>
    <t xml:space="preserve">IIA3c</t>
  </si>
  <si>
    <t xml:space="preserve">Imported from cage IIA3c</t>
  </si>
  <si>
    <t xml:space="preserve">B017</t>
  </si>
  <si>
    <t xml:space="preserve">B018</t>
  </si>
  <si>
    <t xml:space="preserve">GCaMP3-Thy1 + CarCre</t>
  </si>
  <si>
    <t xml:space="preserve">IIA3e</t>
  </si>
  <si>
    <t xml:space="preserve">Imported from cage IIA3e. Birth from cage card (sheet had "2025.15.05")</t>
  </si>
  <si>
    <t xml:space="preserve">B019</t>
  </si>
  <si>
    <t xml:space="preserve">Imported from cage IIA3e</t>
  </si>
  <si>
    <t xml:space="preserve">B020</t>
  </si>
  <si>
    <t xml:space="preserve">B021</t>
  </si>
  <si>
    <t xml:space="preserve">CX3CR1KO (-/-)</t>
  </si>
  <si>
    <t xml:space="preserve">IIA4a</t>
  </si>
  <si>
    <t xml:space="preserve">Imported from cage IIA4a</t>
  </si>
  <si>
    <t xml:space="preserve">B022</t>
  </si>
  <si>
    <t xml:space="preserve">B023</t>
  </si>
  <si>
    <t xml:space="preserve">IIA4c</t>
  </si>
  <si>
    <t xml:space="preserve">Imported from cage IIA4c</t>
  </si>
  <si>
    <t xml:space="preserve">B024</t>
  </si>
  <si>
    <t xml:space="preserve">B025</t>
  </si>
  <si>
    <t xml:space="preserve">Cas9 + PV-Cre</t>
  </si>
  <si>
    <t xml:space="preserve">IIA4e</t>
  </si>
  <si>
    <t xml:space="preserve">Imported from cage IIA4e. Birth from cage card (sheet had 2024.08.20 for both)</t>
  </si>
  <si>
    <t xml:space="preserve">B026</t>
  </si>
  <si>
    <t xml:space="preserve">B027</t>
  </si>
  <si>
    <t xml:space="preserve">IIA5b</t>
  </si>
  <si>
    <t xml:space="preserve">Imported from cage IIA5b</t>
  </si>
  <si>
    <t xml:space="preserve">B028</t>
  </si>
  <si>
    <t xml:space="preserve">Imported from cage IIA5b; Cx3cr1 (-/-) per cage card</t>
  </si>
  <si>
    <t xml:space="preserve">B029</t>
  </si>
  <si>
    <t xml:space="preserve">IIA6e</t>
  </si>
  <si>
    <t xml:space="preserve">Imported from cage IIA6e. Card: born 2026-07-26 in II/A/4/a -&gt; littermates of each other</t>
  </si>
  <si>
    <t xml:space="preserve">B030</t>
  </si>
  <si>
    <t xml:space="preserve">Pair cage</t>
  </si>
  <si>
    <t xml:space="preserve">Male ID</t>
  </si>
  <si>
    <t xml:space="preserve">Female 1 ID</t>
  </si>
  <si>
    <t xml:space="preserve">Female 2 ID</t>
  </si>
  <si>
    <t xml:space="preserve">Set up</t>
  </si>
  <si>
    <t xml:space="preserve">Male age (d)</t>
  </si>
  <si>
    <t xml:space="preserve">F1 age (d)</t>
  </si>
  <si>
    <t xml:space="preserve">F2 age (d)</t>
  </si>
  <si>
    <t xml:space="preserve">Oldest (d)</t>
  </si>
  <si>
    <t xml:space="preserve">Replace by</t>
  </si>
  <si>
    <t xml:space="preserve">Active</t>
  </si>
  <si>
    <t xml:space="preserve">Ended</t>
  </si>
  <si>
    <t xml:space="preserve">Female removed (cage card 2026-10-25)</t>
  </si>
  <si>
    <t xml:space="preserve">Change to new pair</t>
  </si>
  <si>
    <t xml:space="preserve">OK</t>
  </si>
  <si>
    <t xml:space="preserve">Line as written</t>
  </si>
  <si>
    <t xml:space="preserve">Count</t>
  </si>
  <si>
    <t xml:space="preserve">Breeder candidate</t>
  </si>
  <si>
    <t xml:space="preserve">Note</t>
  </si>
  <si>
    <t xml:space="preserve">Reserved for</t>
  </si>
  <si>
    <t xml:space="preserve">IB1b</t>
  </si>
  <si>
    <t xml:space="preserve">CX3CR1KO+Bl6</t>
  </si>
  <si>
    <t xml:space="preserve">IB1c</t>
  </si>
  <si>
    <t xml:space="preserve">IB1d</t>
  </si>
  <si>
    <t xml:space="preserve">IB1e</t>
  </si>
  <si>
    <t xml:space="preserve">GCaMP3Thy1</t>
  </si>
  <si>
    <t xml:space="preserve">TP</t>
  </si>
  <si>
    <t xml:space="preserve">Breeding pair - see Pairs</t>
  </si>
  <si>
    <t xml:space="preserve">IB2b</t>
  </si>
  <si>
    <t xml:space="preserve">GCaMP3Thy1 + CarCre</t>
  </si>
  <si>
    <t xml:space="preserve">IB2c</t>
  </si>
  <si>
    <t xml:space="preserve">CX3CR1KO + BL6</t>
  </si>
  <si>
    <t xml:space="preserve">IB3a</t>
  </si>
  <si>
    <t xml:space="preserve">IB3b</t>
  </si>
  <si>
    <t xml:space="preserve">terminate or use</t>
  </si>
  <si>
    <t xml:space="preserve">IB3c</t>
  </si>
  <si>
    <t xml:space="preserve">IB3e</t>
  </si>
  <si>
    <t xml:space="preserve">IB4a</t>
  </si>
  <si>
    <t xml:space="preserve">IB4b</t>
  </si>
  <si>
    <t xml:space="preserve">IB4c</t>
  </si>
  <si>
    <t xml:space="preserve">IB4d</t>
  </si>
  <si>
    <t xml:space="preserve">CX3CR1KO(-/-)</t>
  </si>
  <si>
    <t xml:space="preserve">IB4e</t>
  </si>
  <si>
    <t xml:space="preserve">GC3Thy1+CarCre</t>
  </si>
  <si>
    <t xml:space="preserve">IB5a</t>
  </si>
  <si>
    <t xml:space="preserve">IB5b</t>
  </si>
  <si>
    <t xml:space="preserve">IB5c</t>
  </si>
  <si>
    <t xml:space="preserve">IB5d</t>
  </si>
  <si>
    <t xml:space="preserve">IB5e</t>
  </si>
  <si>
    <t xml:space="preserve">IB6a</t>
  </si>
  <si>
    <t xml:space="preserve">IB6b</t>
  </si>
  <si>
    <t xml:space="preserve">BOGI injektalt 07.16 (rAAVcreTdtom)</t>
  </si>
  <si>
    <t xml:space="preserve">IB6c</t>
  </si>
  <si>
    <t xml:space="preserve">Cx36KOPVCre</t>
  </si>
  <si>
    <t xml:space="preserve">IB6d</t>
  </si>
  <si>
    <t xml:space="preserve">IB6e</t>
  </si>
  <si>
    <t xml:space="preserve">Cas9 + PVCre</t>
  </si>
  <si>
    <t xml:space="preserve">Csaba</t>
  </si>
  <si>
    <t xml:space="preserve">IB7a</t>
  </si>
  <si>
    <t xml:space="preserve">IB7b</t>
  </si>
  <si>
    <t xml:space="preserve">Former pair: female removed (card 2026-10-25). Male B010, over age</t>
  </si>
  <si>
    <t xml:space="preserve">IB7d</t>
  </si>
  <si>
    <t xml:space="preserve">IB7e</t>
  </si>
  <si>
    <t xml:space="preserve">IB8a</t>
  </si>
  <si>
    <t xml:space="preserve">IB8b</t>
  </si>
  <si>
    <t xml:space="preserve">IB8c</t>
  </si>
  <si>
    <t xml:space="preserve">IB8d</t>
  </si>
  <si>
    <t xml:space="preserve">IB8e</t>
  </si>
  <si>
    <t xml:space="preserve">IB9a</t>
  </si>
  <si>
    <t xml:space="preserve">IB9b</t>
  </si>
  <si>
    <t xml:space="preserve">IB9c</t>
  </si>
  <si>
    <t xml:space="preserve">IB9d</t>
  </si>
  <si>
    <t xml:space="preserve">IB9e</t>
  </si>
  <si>
    <t xml:space="preserve">IB10a</t>
  </si>
  <si>
    <t xml:space="preserve">IB10e</t>
  </si>
  <si>
    <t xml:space="preserve">IB10b</t>
  </si>
  <si>
    <t xml:space="preserve">IIA1a</t>
  </si>
  <si>
    <t xml:space="preserve">PVCre</t>
  </si>
  <si>
    <t xml:space="preserve">CX36KO_PVCRE</t>
  </si>
  <si>
    <t xml:space="preserve">IIA1c</t>
  </si>
  <si>
    <t xml:space="preserve">IIA1d</t>
  </si>
  <si>
    <t xml:space="preserve">IIA1e</t>
  </si>
  <si>
    <t xml:space="preserve">IIA2a</t>
  </si>
  <si>
    <t xml:space="preserve">IIA2b</t>
  </si>
  <si>
    <t xml:space="preserve">need to genotype</t>
  </si>
  <si>
    <t xml:space="preserve">IIA2c</t>
  </si>
  <si>
    <t xml:space="preserve">IIA2d</t>
  </si>
  <si>
    <t xml:space="preserve">terminate</t>
  </si>
  <si>
    <t xml:space="preserve">PVCRE</t>
  </si>
  <si>
    <t xml:space="preserve">Breeding pair - see Pairs; Change to new pair</t>
  </si>
  <si>
    <t xml:space="preserve">IIA3a</t>
  </si>
  <si>
    <t xml:space="preserve">IIA3b</t>
  </si>
  <si>
    <t xml:space="preserve">IIA3d</t>
  </si>
  <si>
    <t xml:space="preserve">Breeding pair - see Pairs; OK</t>
  </si>
  <si>
    <t xml:space="preserve">IIA4b</t>
  </si>
  <si>
    <t xml:space="preserve">IIA4d</t>
  </si>
  <si>
    <t xml:space="preserve">Chrimson</t>
  </si>
  <si>
    <t xml:space="preserve">IIA5a</t>
  </si>
  <si>
    <t xml:space="preserve">IIA5c</t>
  </si>
  <si>
    <t xml:space="preserve">IIA5d</t>
  </si>
  <si>
    <t xml:space="preserve">IIA5e</t>
  </si>
  <si>
    <t xml:space="preserve">IIA6a</t>
  </si>
  <si>
    <t xml:space="preserve">IIA6b</t>
  </si>
  <si>
    <t xml:space="preserve">IIA6c</t>
  </si>
  <si>
    <t xml:space="preserve">injektalt</t>
  </si>
  <si>
    <t xml:space="preserve">IIA6d</t>
  </si>
  <si>
    <t xml:space="preserve">terminate!!</t>
  </si>
  <si>
    <t xml:space="preserve">IIA7a</t>
  </si>
  <si>
    <t xml:space="preserve">IIA7b</t>
  </si>
  <si>
    <t xml:space="preserve">IIA7c</t>
  </si>
  <si>
    <t xml:space="preserve">IIA7d</t>
  </si>
  <si>
    <t xml:space="preserve">IIA7e</t>
  </si>
  <si>
    <t xml:space="preserve">IIA8a</t>
  </si>
  <si>
    <t xml:space="preserve">IIA8b</t>
  </si>
  <si>
    <t xml:space="preserve">IIA8c</t>
  </si>
  <si>
    <t xml:space="preserve">IIA8d</t>
  </si>
  <si>
    <t xml:space="preserve">IIA8e</t>
  </si>
  <si>
    <t xml:space="preserve">IIA9a</t>
  </si>
  <si>
    <t xml:space="preserve">IIA9b</t>
  </si>
  <si>
    <t xml:space="preserve">IIA9c</t>
  </si>
  <si>
    <t xml:space="preserve">IIA9d</t>
  </si>
  <si>
    <t xml:space="preserve">IIA9e</t>
  </si>
  <si>
    <t xml:space="preserve">Mouse ID</t>
  </si>
  <si>
    <t xml:space="preserve">Ear mark</t>
  </si>
  <si>
    <t xml:space="preserve">Born</t>
  </si>
  <si>
    <t xml:space="preserve">Status date</t>
  </si>
  <si>
    <t xml:space="preserve">Breeder ID</t>
  </si>
  <si>
    <t xml:space="preserve">Needs genotyping</t>
  </si>
  <si>
    <t xml:space="preserve">M0001</t>
  </si>
  <si>
    <t xml:space="preserve">none</t>
  </si>
  <si>
    <t xml:space="preserve">Alive</t>
  </si>
  <si>
    <t xml:space="preserve">Ear mark assigned automatically - check the ears</t>
  </si>
  <si>
    <t xml:space="preserve">M0002</t>
  </si>
  <si>
    <t xml:space="preserve">L</t>
  </si>
  <si>
    <t xml:space="preserve">M0003</t>
  </si>
  <si>
    <t xml:space="preserve">M0004</t>
  </si>
  <si>
    <t xml:space="preserve">M0005</t>
  </si>
  <si>
    <t xml:space="preserve">M0006</t>
  </si>
  <si>
    <t xml:space="preserve">M0007</t>
  </si>
  <si>
    <t xml:space="preserve">R</t>
  </si>
  <si>
    <t xml:space="preserve">M0008</t>
  </si>
  <si>
    <t xml:space="preserve">M0009</t>
  </si>
  <si>
    <t xml:space="preserve">M0010</t>
  </si>
  <si>
    <t xml:space="preserve">M0011</t>
  </si>
  <si>
    <t xml:space="preserve">M0012</t>
  </si>
  <si>
    <t xml:space="preserve">M0013</t>
  </si>
  <si>
    <t xml:space="preserve">LR</t>
  </si>
  <si>
    <t xml:space="preserve">M0014</t>
  </si>
  <si>
    <t xml:space="preserve">M0015</t>
  </si>
  <si>
    <t xml:space="preserve">M0016</t>
  </si>
  <si>
    <t xml:space="preserve">M0017</t>
  </si>
  <si>
    <t xml:space="preserve">M0018</t>
  </si>
  <si>
    <t xml:space="preserve">M0019</t>
  </si>
  <si>
    <t xml:space="preserve">M0020</t>
  </si>
  <si>
    <t xml:space="preserve">M0021</t>
  </si>
  <si>
    <t xml:space="preserve">M0022</t>
  </si>
  <si>
    <t xml:space="preserve">M0023</t>
  </si>
  <si>
    <t xml:space="preserve">M0024</t>
  </si>
  <si>
    <t xml:space="preserve">M0025</t>
  </si>
  <si>
    <t xml:space="preserve">M0026</t>
  </si>
  <si>
    <t xml:space="preserve">M0027</t>
  </si>
  <si>
    <t xml:space="preserve">M0028</t>
  </si>
  <si>
    <t xml:space="preserve">M0029</t>
  </si>
  <si>
    <t xml:space="preserve">M0030</t>
  </si>
  <si>
    <t xml:space="preserve">M0031</t>
  </si>
  <si>
    <t xml:space="preserve">M0032</t>
  </si>
  <si>
    <t xml:space="preserve">M0033</t>
  </si>
  <si>
    <t xml:space="preserve">M0034</t>
  </si>
  <si>
    <t xml:space="preserve">M0035</t>
  </si>
  <si>
    <t xml:space="preserve">M0036</t>
  </si>
  <si>
    <t xml:space="preserve">M0037</t>
  </si>
  <si>
    <t xml:space="preserve">M0038</t>
  </si>
  <si>
    <t xml:space="preserve">M0039</t>
  </si>
  <si>
    <t xml:space="preserve">M0040</t>
  </si>
  <si>
    <t xml:space="preserve">M0041</t>
  </si>
  <si>
    <t xml:space="preserve">M0042</t>
  </si>
  <si>
    <t xml:space="preserve">M0043</t>
  </si>
  <si>
    <t xml:space="preserve">M0044</t>
  </si>
  <si>
    <t xml:space="preserve">M0045</t>
  </si>
  <si>
    <t xml:space="preserve">M0046</t>
  </si>
  <si>
    <t xml:space="preserve">M0047</t>
  </si>
  <si>
    <t xml:space="preserve">M0048</t>
  </si>
  <si>
    <t xml:space="preserve">M0049</t>
  </si>
  <si>
    <t xml:space="preserve">M0050</t>
  </si>
  <si>
    <t xml:space="preserve">M0051</t>
  </si>
  <si>
    <t xml:space="preserve">M0052</t>
  </si>
  <si>
    <t xml:space="preserve">M0053</t>
  </si>
  <si>
    <t xml:space="preserve">M0054</t>
  </si>
  <si>
    <t xml:space="preserve">M0055</t>
  </si>
  <si>
    <t xml:space="preserve">M0056</t>
  </si>
  <si>
    <t xml:space="preserve">M0057</t>
  </si>
  <si>
    <t xml:space="preserve">L2</t>
  </si>
  <si>
    <t xml:space="preserve">M0058</t>
  </si>
  <si>
    <t xml:space="preserve">M0059</t>
  </si>
  <si>
    <t xml:space="preserve">M0060</t>
  </si>
  <si>
    <t xml:space="preserve">M0061</t>
  </si>
  <si>
    <t xml:space="preserve">M0062</t>
  </si>
  <si>
    <t xml:space="preserve">M0063</t>
  </si>
  <si>
    <t xml:space="preserve">M0064</t>
  </si>
  <si>
    <t xml:space="preserve">M0065</t>
  </si>
  <si>
    <t xml:space="preserve">M0066</t>
  </si>
  <si>
    <t xml:space="preserve">M0067</t>
  </si>
  <si>
    <t xml:space="preserve">M0068</t>
  </si>
  <si>
    <t xml:space="preserve">M0069</t>
  </si>
  <si>
    <t xml:space="preserve">M0070</t>
  </si>
  <si>
    <t xml:space="preserve">M0071</t>
  </si>
  <si>
    <t xml:space="preserve">M0072</t>
  </si>
  <si>
    <t xml:space="preserve">M0073</t>
  </si>
  <si>
    <t xml:space="preserve">M0074</t>
  </si>
  <si>
    <t xml:space="preserve">M0075</t>
  </si>
  <si>
    <t xml:space="preserve">M0076</t>
  </si>
  <si>
    <t xml:space="preserve">M0077</t>
  </si>
  <si>
    <t xml:space="preserve">M0078</t>
  </si>
  <si>
    <t xml:space="preserve">M0079</t>
  </si>
  <si>
    <t xml:space="preserve">M0080</t>
  </si>
  <si>
    <t xml:space="preserve">M0081</t>
  </si>
  <si>
    <t xml:space="preserve">M0082</t>
  </si>
  <si>
    <t xml:space="preserve">M0083</t>
  </si>
  <si>
    <t xml:space="preserve">M0084</t>
  </si>
  <si>
    <t xml:space="preserve">M0085</t>
  </si>
  <si>
    <t xml:space="preserve">M0086</t>
  </si>
  <si>
    <t xml:space="preserve">M0087</t>
  </si>
  <si>
    <t xml:space="preserve">M0088</t>
  </si>
  <si>
    <t xml:space="preserve">M0089</t>
  </si>
  <si>
    <t xml:space="preserve">M0090</t>
  </si>
  <si>
    <t xml:space="preserve">M0091</t>
  </si>
  <si>
    <t xml:space="preserve">M0092</t>
  </si>
  <si>
    <t xml:space="preserve">M0093</t>
  </si>
  <si>
    <t xml:space="preserve">M0094</t>
  </si>
  <si>
    <t xml:space="preserve">M0095</t>
  </si>
  <si>
    <t xml:space="preserve">M0096</t>
  </si>
  <si>
    <t xml:space="preserve">M0097</t>
  </si>
  <si>
    <t xml:space="preserve">M0098</t>
  </si>
  <si>
    <t xml:space="preserve">M0099</t>
  </si>
  <si>
    <t xml:space="preserve">M0100</t>
  </si>
  <si>
    <t xml:space="preserve">M0101</t>
  </si>
  <si>
    <t xml:space="preserve">M0102</t>
  </si>
  <si>
    <t xml:space="preserve">M0103</t>
  </si>
  <si>
    <t xml:space="preserve">M0104</t>
  </si>
  <si>
    <t xml:space="preserve">M0105</t>
  </si>
  <si>
    <t xml:space="preserve">M0106</t>
  </si>
  <si>
    <t xml:space="preserve">M0107</t>
  </si>
  <si>
    <t xml:space="preserve">M0108</t>
  </si>
  <si>
    <t xml:space="preserve">M0109</t>
  </si>
  <si>
    <t xml:space="preserve">M0110</t>
  </si>
  <si>
    <t xml:space="preserve">M0111</t>
  </si>
  <si>
    <t xml:space="preserve">M0112</t>
  </si>
  <si>
    <t xml:space="preserve">M0113</t>
  </si>
  <si>
    <t xml:space="preserve">M0114</t>
  </si>
  <si>
    <t xml:space="preserve">M0115</t>
  </si>
  <si>
    <t xml:space="preserve">M0116</t>
  </si>
  <si>
    <t xml:space="preserve">M0117</t>
  </si>
  <si>
    <t xml:space="preserve">M0118</t>
  </si>
  <si>
    <t xml:space="preserve">M0119</t>
  </si>
  <si>
    <t xml:space="preserve">M0120</t>
  </si>
  <si>
    <t xml:space="preserve">M0121</t>
  </si>
  <si>
    <t xml:space="preserve">M0122</t>
  </si>
  <si>
    <t xml:space="preserve">M0123</t>
  </si>
  <si>
    <t xml:space="preserve">M0124</t>
  </si>
  <si>
    <t xml:space="preserve">M0125</t>
  </si>
  <si>
    <t xml:space="preserve">M0126</t>
  </si>
  <si>
    <t xml:space="preserve">M0127</t>
  </si>
  <si>
    <t xml:space="preserve">M0128</t>
  </si>
  <si>
    <t xml:space="preserve">M0129</t>
  </si>
  <si>
    <t xml:space="preserve">M0130</t>
  </si>
  <si>
    <t xml:space="preserve">M0131</t>
  </si>
  <si>
    <t xml:space="preserve">M0132</t>
  </si>
  <si>
    <t xml:space="preserve">M0133</t>
  </si>
  <si>
    <t xml:space="preserve">M0134</t>
  </si>
  <si>
    <t xml:space="preserve">M0135</t>
  </si>
  <si>
    <t xml:space="preserve">M0136</t>
  </si>
  <si>
    <t xml:space="preserve">M0137</t>
  </si>
  <si>
    <t xml:space="preserve">M0138</t>
  </si>
  <si>
    <t xml:space="preserve">Allowed partner lines</t>
  </si>
  <si>
    <t xml:space="preserve">Must keep (Y)</t>
  </si>
  <si>
    <t xml:space="preserve">Genetic background</t>
  </si>
  <si>
    <t xml:space="preserve">Last fresh vendor B6 introduced</t>
  </si>
  <si>
    <t xml:space="preserve">Active pairs</t>
  </si>
  <si>
    <t xml:space="preserve">Pairs OVER AGE</t>
  </si>
  <si>
    <t xml:space="preserve">Pairs replace soon</t>
  </si>
  <si>
    <t xml:space="preserve">Candidate M cages</t>
  </si>
  <si>
    <t xml:space="preserve">Candidate F cages</t>
  </si>
  <si>
    <t xml:space="preserve">Line status</t>
  </si>
  <si>
    <t xml:space="preserve">Loci tracked (; separated)</t>
  </si>
  <si>
    <t xml:space="preserve">Made of (lines, ; separated)</t>
  </si>
  <si>
    <t xml:space="preserve">Y</t>
  </si>
  <si>
    <t xml:space="preserve">C57BL/6J (JAX 000664)</t>
  </si>
  <si>
    <t xml:space="preserve">Also used as outcross partner</t>
  </si>
  <si>
    <t xml:space="preserve">C57BL/6</t>
  </si>
  <si>
    <t xml:space="preserve">B6;CBA (JAX 017893)</t>
  </si>
  <si>
    <t xml:space="preserve">Mixed background</t>
  </si>
  <si>
    <t xml:space="preserve">Thy1-GCaMP3</t>
  </si>
  <si>
    <t xml:space="preserve">Cx36-flox</t>
  </si>
  <si>
    <t xml:space="preserve">Was "CX36KO_PVCRE" / "Cx36KOPVCre"</t>
  </si>
  <si>
    <t xml:space="preserve">Cx36-flox; PV-Cre</t>
  </si>
  <si>
    <t xml:space="preserve">FL-Cx36KO; PV-Cre</t>
  </si>
  <si>
    <t xml:space="preserve">Cx3cr1-KO</t>
  </si>
  <si>
    <t xml:space="preserve">CX3CR1KO + Bl6; C57Bl6J</t>
  </si>
  <si>
    <t xml:space="preserve">C57BL/6J outcross</t>
  </si>
  <si>
    <t xml:space="preserve">Pairs use a Bl6 partner</t>
  </si>
  <si>
    <t xml:space="preserve">Was "GC3Thy1+CarCre" / "GCaMP3Thy1 + CarCre"</t>
  </si>
  <si>
    <t xml:space="preserve">Thy1-GCaMP3; CarCre</t>
  </si>
  <si>
    <t xml:space="preserve">GCaMP3-Thy1; CarCre</t>
  </si>
  <si>
    <t xml:space="preserve">Cas9; PV-Cre</t>
  </si>
  <si>
    <t xml:space="preserve">Litter born</t>
  </si>
  <si>
    <t xml:space="preserve">Pups born</t>
  </si>
  <si>
    <t xml:space="preserve">Weaned on</t>
  </si>
  <si>
    <t xml:space="preserve">Weaned M</t>
  </si>
  <si>
    <t xml:space="preserve">Weaned F</t>
  </si>
  <si>
    <t xml:space="preserve">Wean cage M</t>
  </si>
  <si>
    <t xml:space="preserve">Wean cage F</t>
  </si>
  <si>
    <t xml:space="preserve">Date</t>
  </si>
  <si>
    <t xml:space="preserve">Animal ID</t>
  </si>
  <si>
    <t xml:space="preserve">Mice</t>
  </si>
  <si>
    <t xml:space="preserve">Procedure</t>
  </si>
  <si>
    <t xml:space="preserve">Details</t>
  </si>
  <si>
    <t xml:space="preserve">Person</t>
  </si>
  <si>
    <t xml:space="preserve">Outcome</t>
  </si>
  <si>
    <t xml:space="preserve">Reason / use</t>
  </si>
  <si>
    <t xml:space="preserve">Project</t>
  </si>
  <si>
    <t xml:space="preserve">Procedures done</t>
  </si>
  <si>
    <t xml:space="preserve">Problem found</t>
  </si>
  <si>
    <t xml:space="preserve">What was done in conversion</t>
  </si>
  <si>
    <t xml:space="preserve">Action needed</t>
  </si>
  <si>
    <t xml:space="preserve">Done?</t>
  </si>
  <si>
    <t xml:space="preserve">Note says "terminate or use"</t>
  </si>
  <si>
    <t xml:space="preserve">Use or terminate, then clear the cage row</t>
  </si>
  <si>
    <t xml:space="preserve">Note says "need to genotype"</t>
  </si>
  <si>
    <t xml:space="preserve">Note says "terminate"</t>
  </si>
  <si>
    <t xml:space="preserve">Invalid date "2025.15.05" (month 15)</t>
  </si>
  <si>
    <t xml:space="preserve">Read as 2025-05-15 (day and month swapped) | Resolved 2026-10-25: Card: male born 2025.12.05</t>
  </si>
  <si>
    <t xml:space="preserve">Check the real birth date</t>
  </si>
  <si>
    <t xml:space="preserve">Done</t>
  </si>
  <si>
    <t xml:space="preserve">Breeding pair has only one birth date</t>
  </si>
  <si>
    <t xml:space="preserve">Used 2024-08-20 for both animals | Resolved 2026-10-25: Card: M 2025.08.20, F 2025.08.05</t>
  </si>
  <si>
    <t xml:space="preserve">Enter the real male and female birth dates on Breeders</t>
  </si>
  <si>
    <t xml:space="preserve">Note says "terminate!!"</t>
  </si>
  <si>
    <t xml:space="preserve">Used 2026-07-26 for both animals | Resolved 2026-10-25: Card: both born 2026.07.26</t>
  </si>
  <si>
    <t xml:space="preserve">(all)</t>
  </si>
  <si>
    <t xml:space="preserve">Line name written several ways: "CX3CR1KO(-/-)"</t>
  </si>
  <si>
    <t xml:space="preserve">Unified to "CX3CR1KO (-/-)" (original kept in "Line as written")</t>
  </si>
  <si>
    <t xml:space="preserve">Check the merge is right</t>
  </si>
  <si>
    <t xml:space="preserve">Line name written several ways: "CX3CR1KO + BL6", "CX3CR1KO+Bl6"</t>
  </si>
  <si>
    <t xml:space="preserve">Unified to "CX3CR1KO + Bl6" (original kept in "Line as written")</t>
  </si>
  <si>
    <t xml:space="preserve">Line name written several ways: "Cas9 + PVCre"</t>
  </si>
  <si>
    <t xml:space="preserve">Unified to "Cas9 + PV-Cre" (original kept in "Line as written")</t>
  </si>
  <si>
    <t xml:space="preserve">Line name written several ways: "CX36KO_PVCRE", "Cx36KOPVCre"</t>
  </si>
  <si>
    <t xml:space="preserve">Unified to "Cx36KO + PV-Cre" (original kept in "Line as written")</t>
  </si>
  <si>
    <t xml:space="preserve">Line name written several ways: "GCaMP3Thy1"</t>
  </si>
  <si>
    <t xml:space="preserve">Unified to "GCaMP3-Thy1" (original kept in "Line as written")</t>
  </si>
  <si>
    <t xml:space="preserve">Line name written several ways: "GC3Thy1+CarCre", "GCaMP3Thy1 + CarCre"</t>
  </si>
  <si>
    <t xml:space="preserve">Unified to "GCaMP3-Thy1 + CarCre" (original kept in "Line as written")</t>
  </si>
  <si>
    <t xml:space="preserve">Line name written several ways: "PVCRE", "PVCre"</t>
  </si>
  <si>
    <t xml:space="preserve">Unified to "PV-Cre" (original kept in "Line as written")</t>
  </si>
  <si>
    <t xml:space="preserve">IB2e, IB3d, IIA5b</t>
  </si>
  <si>
    <t xml:space="preserve">Three pairs list a Bl6 male born 2025-10-13</t>
  </si>
  <si>
    <t xml:space="preserve">Treated as three different males | Resolved 2026-10-25: Cards: separate males from the 2025-10-13 Bl6 batch (15)</t>
  </si>
  <si>
    <t xml:space="preserve">Confirm they are three animals, not one moved between cages</t>
  </si>
  <si>
    <t xml:space="preserve">Breeding pair are littermates (both born 2026-07-26 in II/A/4/a, per cage card)</t>
  </si>
  <si>
    <t xml:space="preserve">Parents B021 x B022 entered for both</t>
  </si>
  <si>
    <t xml:space="preserve">Full-sib mating: replace one partner if CX3CR1 (-/-) can be outcrossed to another (-/-) line</t>
  </si>
  <si>
    <t xml:space="preserve">Card shows the female crossed off; one male left</t>
  </si>
  <si>
    <t xml:space="preserve">Pair set to Ended, both retired, cage = 1 Bl6 M</t>
  </si>
  <si>
    <t xml:space="preserve">Use or terminate the male (16 months)</t>
  </si>
  <si>
    <t xml:space="preserve">(cages)</t>
  </si>
  <si>
    <t xml:space="preserve">Parents of 27 stock cages filled from the card "Származási hely" (purple IDs on Cages)</t>
  </si>
  <si>
    <t xml:space="preserve">Only where the origin is a current pair and the birth date fits</t>
  </si>
  <si>
    <t xml:space="preserve">Spot-check a few; correct any wrong link</t>
  </si>
  <si>
    <t xml:space="preserve">IB2b, IIA3a</t>
  </si>
  <si>
    <t xml:space="preserve">Born in trio IIA3e (1 M + 2 F): mother unknown</t>
  </si>
  <si>
    <t xml:space="preserve">Sire B018 entered, dam left blank</t>
  </si>
  <si>
    <t xml:space="preserve">If known, enter B019 or B020 as Dam</t>
  </si>
  <si>
    <t xml:space="preserve">Card origin II/A/3/c, born 2026-08-11: current IIA3c female would have been ~5 weeks at mating</t>
  </si>
  <si>
    <t xml:space="preserve">No parents entered</t>
  </si>
  <si>
    <t xml:space="preserve">Probably an earlier pair in IIA3c - check</t>
  </si>
  <si>
    <t xml:space="preserve">IIA1d, IIA4a, IIA6b, IIA7c, IIA8e</t>
  </si>
  <si>
    <t xml:space="preserve">Cage card not readable in the video</t>
  </si>
  <si>
    <t xml:space="preserve">Unchanged</t>
  </si>
  <si>
    <t xml:space="preserve">Check these cards</t>
  </si>
  <si>
    <t xml:space="preserve">Setting</t>
  </si>
  <si>
    <t xml:space="preserve">Value</t>
  </si>
  <si>
    <t xml:space="preserve">What it does</t>
  </si>
  <si>
    <t xml:space="preserve">Max breeder age (days)</t>
  </si>
  <si>
    <t xml:space="preserve">Breeders at or above this age are flagged OVER AGE</t>
  </si>
  <si>
    <t xml:space="preserve">Warn this many days before</t>
  </si>
  <si>
    <t xml:space="preserve">Flag "Replace soon" this long before MaxAge, so replacements can be set aside</t>
  </si>
  <si>
    <t xml:space="preserve">Min breeding age (days)</t>
  </si>
  <si>
    <t xml:space="preserve">Younger animals are flagged "Too young" (7 weeks)</t>
  </si>
  <si>
    <t xml:space="preserve">Max age to start a new breeder (days)</t>
  </si>
  <si>
    <t xml:space="preserve">Stock cages older than this are not offered as breeder candidates</t>
  </si>
  <si>
    <t xml:space="preserve">Last cage check</t>
  </si>
  <si>
    <t xml:space="preserve">Date of the last physical check (cage-card videos 2026-10-25)</t>
  </si>
  <si>
    <t xml:space="preserve">Rövid név</t>
  </si>
  <si>
    <t xml:space="preserve">JAX</t>
  </si>
  <si>
    <t xml:space="preserve">genotype</t>
  </si>
  <si>
    <t xml:space="preserve">link</t>
  </si>
  <si>
    <t xml:space="preserve">Basic WT Strain</t>
  </si>
  <si>
    <t xml:space="preserve">OTHER</t>
  </si>
  <si>
    <t xml:space="preserve">BASIC LINES</t>
  </si>
  <si>
    <t xml:space="preserve">000664</t>
  </si>
  <si>
    <t xml:space="preserve">WT</t>
  </si>
  <si>
    <t xml:space="preserve">000664 - C57BL/6J (jax.org)</t>
  </si>
  <si>
    <t xml:space="preserve">C57BL6</t>
  </si>
  <si>
    <t xml:space="preserve">Pvalbtm1(cre)Arbr; PV-IRES-Cre</t>
  </si>
  <si>
    <t xml:space="preserve">www.jax.org/strain/017320</t>
  </si>
  <si>
    <t xml:space="preserve">Thy1-Cre</t>
  </si>
  <si>
    <t xml:space="preserve">similar to: 006143, KOKI</t>
  </si>
  <si>
    <t xml:space="preserve">Tg(Thy1-cre)1Vln</t>
  </si>
  <si>
    <t xml:space="preserve">006143 - FVB/N-Tg(Thy1-cre)1Vln/J (jax.org)</t>
  </si>
  <si>
    <t xml:space="preserve">FVB/AntFx</t>
  </si>
  <si>
    <t xml:space="preserve">017893</t>
  </si>
  <si>
    <t xml:space="preserve">B6;CBA-Tg(Thy1-GCaMP3)6Gfng/J</t>
  </si>
  <si>
    <t xml:space="preserve">https://www.jax.org/strain/017893</t>
  </si>
  <si>
    <t xml:space="preserve">tdTom-flox</t>
  </si>
  <si>
    <t xml:space="preserve">007905 </t>
  </si>
  <si>
    <t xml:space="preserve">Gt(ROSA)26Sor_CAG/LSL_tdTomato Ai9</t>
  </si>
  <si>
    <t xml:space="preserve">007905 - B6;129S6-Gt(ROSA)26Sor&lt;tm9(CAG-tdTomato)Hze&gt;/J (jax.org)</t>
  </si>
  <si>
    <t xml:space="preserve">CROSSED LINES</t>
  </si>
  <si>
    <t xml:space="preserve">Thy1/GC6s</t>
  </si>
  <si>
    <t xml:space="preserve">See KOKI</t>
  </si>
  <si>
    <t xml:space="preserve">Thy1-Cre x GCaMP6s</t>
  </si>
  <si>
    <t xml:space="preserve">http://kac.koki.hu/menu.php?menuid=ogr_vonal</t>
  </si>
  <si>
    <t xml:space="preserve">Thy1/gcamp6s Tg; KOKI</t>
  </si>
  <si>
    <t xml:space="preserve">Thy1Cre-tdTom</t>
  </si>
  <si>
    <t xml:space="preserve">SEE BASIC LINES</t>
  </si>
  <si>
    <t xml:space="preserve">Thy1-Cre x tdTom-flox</t>
  </si>
  <si>
    <t xml:space="preserve">FVB/AntFx x C57Bl6</t>
  </si>
  <si>
    <t xml:space="preserve">Crossed in SZKK by TKÖ</t>
  </si>
  <si>
    <t xml:space="preserve">PVCre-tdTom</t>
  </si>
  <si>
    <t xml:space="preserve">PV-Cre x tdTom-flox</t>
  </si>
  <si>
    <t xml:space="preserve">ArchR-PvCre</t>
  </si>
  <si>
    <t xml:space="preserve">Discontinued</t>
  </si>
  <si>
    <t xml:space="preserve">PV-Cre x Archeorhodopsin-GFP</t>
  </si>
  <si>
    <t xml:space="preserve">Crossed in SZKK by TKÖ, +</t>
  </si>
  <si>
    <t xml:space="preserve">Former Strains</t>
  </si>
  <si>
    <t xml:space="preserve">Thy1-GCaMP6s</t>
  </si>
  <si>
    <t xml:space="preserve">C57BL/6J-Tg(Thy1-GCaMP6s)GP4.3Dkim/J</t>
  </si>
  <si>
    <t xml:space="preserve">https://www.jax.org/strain/24275</t>
  </si>
  <si>
    <t xml:space="preserve">+</t>
  </si>
  <si>
    <t xml:space="preserve">Checked</t>
  </si>
  <si>
    <t xml:space="preserve">Old cage</t>
  </si>
  <si>
    <t xml:space="preserve">Gender</t>
  </si>
  <si>
    <t xml:space="preserve">Number</t>
  </si>
  <si>
    <t xml:space="preserve">Old</t>
  </si>
  <si>
    <t xml:space="preserve">Lefoglalva</t>
  </si>
  <si>
    <t xml:space="preserve">Bl6</t>
  </si>
  <si>
    <t xml:space="preserve">2026.01.26(F)+2026.01.07(M)</t>
  </si>
  <si>
    <t xml:space="preserve">2026.06.20(F,Bl6)+2026.04.29(M)</t>
  </si>
  <si>
    <t xml:space="preserve">2025.10.13 (M,Bl6)+2025.12.31 (F)</t>
  </si>
  <si>
    <t xml:space="preserve">2025.10.13 (M,Bl6)+2026.06.11 (2F)</t>
  </si>
  <si>
    <t xml:space="preserve">2025.06.20 (M,Bl6)+2025.02.18 (F)</t>
  </si>
  <si>
    <t xml:space="preserve">2026.04.05. (M) + 2026.01.12. (F)</t>
  </si>
  <si>
    <t xml:space="preserve">2025.08.20.(M)+2025.10.14.(F)</t>
  </si>
  <si>
    <t xml:space="preserve">2026.05.25(M)+2026.06.16(F)</t>
  </si>
  <si>
    <t xml:space="preserve">2025.15.05(M)+2025.11.18(2F)</t>
  </si>
  <si>
    <t xml:space="preserve"> 2025.10.29.(M)+2025.12.31.(F)</t>
  </si>
  <si>
    <t xml:space="preserve">2025.12.15 (M)+ 2026.02.07 (F)</t>
  </si>
  <si>
    <t xml:space="preserve"> 2025.10.13.(M, Bl6)+2025.12.31.(F)</t>
  </si>
  <si>
    <t xml:space="preserve">IA2a</t>
  </si>
  <si>
    <t xml:space="preserve">PvCre</t>
  </si>
  <si>
    <t xml:space="preserve">IA3c</t>
  </si>
  <si>
    <t xml:space="preserve">IA3d</t>
  </si>
  <si>
    <t xml:space="preserve">IA3e</t>
  </si>
  <si>
    <t xml:space="preserve">FLCX36_PVCRE</t>
  </si>
  <si>
    <t xml:space="preserve">IA4a</t>
  </si>
  <si>
    <t xml:space="preserve">FlCx36-KO (hom)</t>
  </si>
  <si>
    <t xml:space="preserve">IA4b</t>
  </si>
  <si>
    <t xml:space="preserve">Calb2-Cre</t>
  </si>
  <si>
    <t xml:space="preserve">IA4c
</t>
  </si>
  <si>
    <t xml:space="preserve">FL-Cx36KO (hom) + PVCre</t>
  </si>
  <si>
    <t xml:space="preserve">IA4d</t>
  </si>
  <si>
    <t xml:space="preserve">TdTom - Flox</t>
  </si>
  <si>
    <t xml:space="preserve">IA4e</t>
  </si>
  <si>
    <t xml:space="preserve">PVCre?</t>
  </si>
  <si>
    <t xml:space="preserve">IA5a</t>
  </si>
  <si>
    <t xml:space="preserve">IA5b</t>
  </si>
  <si>
    <t xml:space="preserve">IA5c</t>
  </si>
  <si>
    <t xml:space="preserve">CX36FL(?)_PvCre(?)_GC6STHY1(?)</t>
  </si>
  <si>
    <t xml:space="preserve">GENO</t>
  </si>
  <si>
    <t xml:space="preserve">Total Cage</t>
  </si>
  <si>
    <t xml:space="preserve">IA5d</t>
  </si>
  <si>
    <t xml:space="preserve">Tamas AAV - 06,11</t>
  </si>
  <si>
    <t xml:space="preserve">Tamás</t>
  </si>
  <si>
    <t xml:space="preserve">IA5e</t>
  </si>
  <si>
    <t xml:space="preserve">FLCx36KO_Cx36FLX_PvCre</t>
  </si>
  <si>
    <t xml:space="preserve">GENO - terminate</t>
  </si>
  <si>
    <t xml:space="preserve">IA6a</t>
  </si>
  <si>
    <t xml:space="preserve">PvCre?</t>
  </si>
  <si>
    <t xml:space="preserve">IA6b</t>
  </si>
  <si>
    <t xml:space="preserve">Cx3CR1KO (-/-)</t>
  </si>
  <si>
    <t xml:space="preserve">2024.09.20-25</t>
  </si>
  <si>
    <t xml:space="preserve">IA6c</t>
  </si>
  <si>
    <t xml:space="preserve">IA6d</t>
  </si>
  <si>
    <t xml:space="preserve">GENO -done</t>
  </si>
  <si>
    <t xml:space="preserve">IA6e</t>
  </si>
  <si>
    <t xml:space="preserve">PvCre(?)</t>
  </si>
  <si>
    <t xml:space="preserve">IA7a</t>
  </si>
  <si>
    <t xml:space="preserve">FlCx36-KO(?) x PVCre(?)</t>
  </si>
  <si>
    <t xml:space="preserve">IA7b</t>
  </si>
  <si>
    <t xml:space="preserve">IA7c</t>
  </si>
  <si>
    <t xml:space="preserve">IA7d</t>
  </si>
  <si>
    <t xml:space="preserve">Tenyésznek félre rakva</t>
  </si>
  <si>
    <t xml:space="preserve">IA7e</t>
  </si>
  <si>
    <t xml:space="preserve">IA8a</t>
  </si>
  <si>
    <t xml:space="preserve">FL-Cx36KO (hom) + PVCre(hom)</t>
  </si>
  <si>
    <t xml:space="preserve">23.10.13. + 24.05.17.</t>
  </si>
  <si>
    <t xml:space="preserve">IA8b</t>
  </si>
  <si>
    <t xml:space="preserve">IA8c</t>
  </si>
  <si>
    <t xml:space="preserve">IA8d</t>
  </si>
  <si>
    <t xml:space="preserve">IA8e</t>
  </si>
  <si>
    <t xml:space="preserve">IA9a</t>
  </si>
  <si>
    <t xml:space="preserve">IA9b</t>
  </si>
  <si>
    <t xml:space="preserve">IA9c</t>
  </si>
  <si>
    <t xml:space="preserve">IA9d</t>
  </si>
  <si>
    <t xml:space="preserve">2024.07.09. + 2023.07.06.</t>
  </si>
  <si>
    <t xml:space="preserve">IA9e</t>
  </si>
  <si>
    <t xml:space="preserve">IA10a</t>
  </si>
  <si>
    <t xml:space="preserve">IA10b</t>
  </si>
  <si>
    <t xml:space="preserve">24,06,03, 06,13 AAV BB ?</t>
  </si>
  <si>
    <t xml:space="preserve">IA10c</t>
  </si>
  <si>
    <t xml:space="preserve">IA10d</t>
  </si>
  <si>
    <t xml:space="preserve">FL-Cx36KO (M) + FL-Cx36KO(het) x PVCre(het) (F)</t>
  </si>
  <si>
    <t xml:space="preserve">23.05.20.(M) + 23.05.23.(F)</t>
  </si>
  <si>
    <t xml:space="preserve">Megnézni</t>
  </si>
  <si>
    <t xml:space="preserve">IA10e</t>
  </si>
  <si>
    <t xml:space="preserve">C57BL6 + CX3CR1</t>
  </si>
  <si>
    <t xml:space="preserve">2022.09.13. + 2024.09.30.</t>
  </si>
  <si>
    <t xml:space="preserve">2023.07.20. + 2023.08.26</t>
  </si>
  <si>
    <t xml:space="preserve">használni, vagy terminálni!</t>
  </si>
  <si>
    <t xml:space="preserve">FL-Cx36KO(hom)</t>
  </si>
  <si>
    <t xml:space="preserve">SC injektálni</t>
  </si>
  <si>
    <t xml:space="preserve">Gergő</t>
  </si>
  <si>
    <t xml:space="preserve">injektált Psychlight</t>
  </si>
  <si>
    <t xml:space="preserve">FLCX36KO_PVCRE</t>
  </si>
  <si>
    <t xml:space="preserve">2024.07.16. + 2024.09.16</t>
  </si>
  <si>
    <t xml:space="preserve">GENO - done</t>
  </si>
  <si>
    <t xml:space="preserve">GENO - done - pufi</t>
  </si>
  <si>
    <t xml:space="preserve">CALB2-CRE</t>
  </si>
  <si>
    <t xml:space="preserve">IB10c</t>
  </si>
  <si>
    <t xml:space="preserve">IB10d</t>
  </si>
  <si>
    <t xml:space="preserve">FL-Cx36(?)_PvCre(?)</t>
  </si>
  <si>
    <t xml:space="preserve">terminalni</t>
  </si>
  <si>
    <t xml:space="preserve">tenyesznek felre rakva</t>
  </si>
  <si>
    <t xml:space="preserve">Cx36FL?_PvCre(?)</t>
  </si>
  <si>
    <t xml:space="preserve">2024.12.04-07</t>
  </si>
  <si>
    <t xml:space="preserve">2024.08.24-2024.07.23</t>
  </si>
  <si>
    <t xml:space="preserve">PVCRE?</t>
  </si>
  <si>
    <t xml:space="preserve">IIA10a</t>
  </si>
  <si>
    <t xml:space="preserve">IIA10b</t>
  </si>
  <si>
    <t xml:space="preserve">IIA10c</t>
  </si>
  <si>
    <t xml:space="preserve">IIA10d</t>
  </si>
  <si>
    <t xml:space="preserve">IIA10e</t>
  </si>
  <si>
    <t xml:space="preserve">KETREC</t>
  </si>
  <si>
    <t xml:space="preserve">MALE</t>
  </si>
  <si>
    <t xml:space="preserve">FEMALE</t>
  </si>
  <si>
    <t xml:space="preserve">PÁROSÍTÁS</t>
  </si>
  <si>
    <t xml:space="preserve">SZÜLETÉSEK</t>
  </si>
  <si>
    <t xml:space="preserve">MEGJEGYZÉSEK</t>
  </si>
  <si>
    <t xml:space="preserve">-</t>
  </si>
  <si>
    <t xml:space="preserve">törzs (M)</t>
  </si>
  <si>
    <t xml:space="preserve">születés ideje</t>
  </si>
  <si>
    <t xml:space="preserve">törzs (F)</t>
  </si>
  <si>
    <t xml:space="preserve">dátum</t>
  </si>
  <si>
    <t xml:space="preserve">egerek száma</t>
  </si>
  <si>
    <t xml:space="preserve">I/A/2/a</t>
  </si>
  <si>
    <t xml:space="preserve">I/A/8/a</t>
  </si>
  <si>
    <t xml:space="preserve">FLCX36KO(hom)</t>
  </si>
  <si>
    <t xml:space="preserve">I/A/10/b</t>
  </si>
  <si>
    <t xml:space="preserve">I/A/10/d</t>
  </si>
  <si>
    <t xml:space="preserve">FLCx36(het)_PvCre(het)</t>
  </si>
  <si>
    <t xml:space="preserve">ezelőtt 6x ellett</t>
  </si>
  <si>
    <t xml:space="preserve">terminálni, vagy genotipizálni</t>
  </si>
  <si>
    <t xml:space="preserve">I/A/10/e</t>
  </si>
  <si>
    <t xml:space="preserve">öreg!</t>
  </si>
  <si>
    <t xml:space="preserve">I/B/4/e</t>
  </si>
  <si>
    <t xml:space="preserve">I/B/5/e</t>
  </si>
  <si>
    <t xml:space="preserve">ha elkezd szaporodni kivenni az egyik nőstényt</t>
  </si>
  <si>
    <t xml:space="preserve">GC3Thy1</t>
  </si>
  <si>
    <t xml:space="preserve">II/A/5/c</t>
  </si>
  <si>
    <t xml:space="preserve">FLCx36?PvCre_GC6SThy1</t>
  </si>
  <si>
    <t xml:space="preserve">ezelőtt 3x ellett</t>
  </si>
  <si>
    <t xml:space="preserve">genotipizálni kéne </t>
  </si>
  <si>
    <t xml:space="preserve">I/B/9/a</t>
  </si>
  <si>
    <t xml:space="preserve">I/B/9/b</t>
  </si>
  <si>
    <t xml:space="preserve">MINDIG KELL</t>
  </si>
  <si>
    <t xml:space="preserve">BL6</t>
  </si>
  <si>
    <t xml:space="preserve">PvCre+FLOXCX36KO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</si>
</sst>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-mm\-dd"/>
    <numFmt numFmtId="166" formatCode="General"/>
    <numFmt numFmtId="167" formatCode="yy\.mm\.dd\."/>
    <numFmt numFmtId="168" formatCode="yyyy\.mm\.dd\."/>
    <numFmt numFmtId="169" formatCode="yyyy\.m\.d"/>
    <numFmt numFmtId="170" formatCode="yyyy\.mm\.dd"/>
    <numFmt numFmtId="171" formatCode="yyyy\,mm\,dd"/>
    <numFmt numFmtId="172" formatCode="yyyy\.m\.d\."/>
    <numFmt numFmtId="173" formatCode="yy\.m\.d"/>
    <numFmt numFmtId="174" formatCode="yy\.m\.d\."/>
    <numFmt numFmtId="175" formatCode="yy\.mm\.dd"/>
  </numFmts>
  <fonts count="3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10"/>
      <color rgb="FF7030A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2"/>
      <color rgb="FF000000"/>
      <name val="Calibri"/>
      <family val="0"/>
      <charset val="1"/>
    </font>
    <font>
      <u val="single"/>
      <sz val="11"/>
      <color rgb="FF1155CC"/>
      <name val="Cambria"/>
      <family val="0"/>
      <charset val="1"/>
    </font>
    <font>
      <sz val="11"/>
      <color rgb="FF000000"/>
      <name val="Roboto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color rgb="FF0AD305"/>
      <name val="Inconsolata"/>
      <family val="0"/>
      <charset val="1"/>
    </font>
    <font>
      <sz val="12"/>
      <color rgb="FF000000"/>
      <name val="&quot;Times New Roman&quot;"/>
      <family val="0"/>
      <charset val="1"/>
    </font>
    <font>
      <b val="true"/>
      <i val="true"/>
      <sz val="12"/>
      <color rgb="FFFFFF00"/>
      <name val="Cambria"/>
      <family val="0"/>
      <charset val="1"/>
    </font>
    <font>
      <b val="true"/>
      <sz val="12"/>
      <name val="Calibri"/>
      <family val="0"/>
      <charset val="1"/>
    </font>
    <font>
      <sz val="11"/>
      <name val="Calibri"/>
      <family val="0"/>
      <charset val="1"/>
    </font>
    <font>
      <sz val="11"/>
      <color rgb="FF000000"/>
      <name val="Cambria"/>
      <family val="0"/>
      <charset val="1"/>
    </font>
    <font>
      <sz val="11"/>
      <color rgb="FFFF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2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9C0006"/>
      <name val="Calibri"/>
      <family val="0"/>
      <charset val="1"/>
    </font>
    <font>
      <sz val="12"/>
      <color rgb="FF9C0006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z val="12"/>
      <color rgb="FF000000"/>
      <name val="Calibri"/>
      <family val="0"/>
      <charset val="1"/>
    </font>
    <font>
      <sz val="11"/>
      <color rgb="FF1F1F1F"/>
      <name val="&quot;Google Sans&quot;"/>
      <family val="0"/>
      <charset val="1"/>
    </font>
    <font>
      <sz val="11"/>
      <color rgb="FFFF00FF"/>
      <name val="Cambria"/>
      <family val="0"/>
      <charset val="1"/>
    </font>
    <font>
      <b val="true"/>
      <sz val="11"/>
      <color rgb="FF000000"/>
      <name val="Calibri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A5F"/>
        <bgColor rgb="FF1F4E78"/>
      </patternFill>
    </fill>
    <fill>
      <patternFill patternType="solid">
        <fgColor rgb="FF5B6B7F"/>
        <bgColor rgb="FF674EA7"/>
      </patternFill>
    </fill>
    <fill>
      <patternFill patternType="solid">
        <fgColor rgb="FFF2F2F2"/>
        <bgColor rgb="FFEDE7F6"/>
      </patternFill>
    </fill>
    <fill>
      <patternFill patternType="solid">
        <fgColor rgb="FF7F3F3F"/>
        <bgColor rgb="FFA64D79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F4CCCC"/>
      </patternFill>
    </fill>
    <fill>
      <patternFill patternType="solid">
        <fgColor rgb="FFFFFF00"/>
        <bgColor rgb="FFF1C232"/>
      </patternFill>
    </fill>
    <fill>
      <patternFill patternType="solid">
        <fgColor rgb="FFFFFFFF"/>
        <bgColor rgb="FFF2F2F2"/>
      </patternFill>
    </fill>
    <fill>
      <patternFill patternType="solid">
        <fgColor rgb="FFCCCCEE"/>
        <bgColor rgb="FFD0D0D0"/>
      </patternFill>
    </fill>
    <fill>
      <patternFill patternType="solid">
        <fgColor rgb="FFFF00FF"/>
        <bgColor rgb="FF9900FF"/>
      </patternFill>
    </fill>
    <fill>
      <patternFill patternType="solid">
        <fgColor rgb="FF9900FF"/>
        <bgColor rgb="FF7030A0"/>
      </patternFill>
    </fill>
    <fill>
      <patternFill patternType="solid">
        <fgColor rgb="FF9FC5E8"/>
        <bgColor rgb="FFA4C2F4"/>
      </patternFill>
    </fill>
    <fill>
      <patternFill patternType="solid">
        <fgColor rgb="FFBF9000"/>
        <bgColor rgb="FFE69138"/>
      </patternFill>
    </fill>
    <fill>
      <patternFill patternType="solid">
        <fgColor rgb="FFFF0000"/>
        <bgColor rgb="FF9C0006"/>
      </patternFill>
    </fill>
    <fill>
      <patternFill patternType="solid">
        <fgColor rgb="FFF4CCCC"/>
        <bgColor rgb="FFFFC7CE"/>
      </patternFill>
    </fill>
    <fill>
      <patternFill patternType="solid">
        <fgColor rgb="FFB7B7B7"/>
        <bgColor rgb="FFA6A6A6"/>
      </patternFill>
    </fill>
    <fill>
      <patternFill patternType="solid">
        <fgColor rgb="FFF1C232"/>
        <bgColor rgb="FFE69138"/>
      </patternFill>
    </fill>
    <fill>
      <patternFill patternType="solid">
        <fgColor rgb="FF00FF00"/>
        <bgColor rgb="FF0AD305"/>
      </patternFill>
    </fill>
    <fill>
      <patternFill patternType="solid">
        <fgColor rgb="FFA4C2F4"/>
        <bgColor rgb="FF9FC5E8"/>
      </patternFill>
    </fill>
    <fill>
      <patternFill patternType="solid">
        <fgColor rgb="FF00FFFF"/>
        <bgColor rgb="FF00FF00"/>
      </patternFill>
    </fill>
    <fill>
      <patternFill patternType="solid">
        <fgColor rgb="FFC9DAF8"/>
        <bgColor rgb="FFD0E0E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1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6B7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8CBAD"/>
        </patternFill>
      </fill>
    </dxf>
    <dxf>
      <font>
        <name val="Arial"/>
        <charset val="1"/>
        <family val="0"/>
        <color rgb="FF7F6000"/>
        <sz val="10"/>
      </font>
      <fill>
        <patternFill>
          <bgColor rgb="FFFFE699"/>
        </patternFill>
      </fill>
    </dxf>
    <dxf>
      <font>
        <name val="Arial"/>
        <charset val="1"/>
        <family val="0"/>
        <color rgb="FF1F4E78"/>
        <sz val="10"/>
      </font>
      <fill>
        <patternFill>
          <bgColor rgb="FFDDEBF7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>
          <bgColor rgb="FFEDE7F6"/>
        </patternFill>
      </fill>
    </dxf>
    <dxf>
      <fill>
        <patternFill patternType="solid">
          <fgColor rgb="FF7F3F3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ont>
        <name val="Arial"/>
        <charset val="1"/>
        <family val="0"/>
        <strike val="1"/>
        <color rgb="FFA6A6A6"/>
      </font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274E13"/>
      </font>
      <fill>
        <patternFill>
          <bgColor rgb="FF00FF00"/>
        </patternFill>
      </fill>
    </dxf>
    <dxf>
      <font>
        <b val="1"/>
      </font>
    </dxf>
    <dxf>
      <font>
        <b val="1"/>
        <color rgb="FF000000"/>
      </font>
      <fill>
        <patternFill>
          <bgColor rgb="FFFFC7CE"/>
        </patternFill>
      </fill>
    </dxf>
    <dxf>
      <font>
        <b val="1"/>
        <color rgb="FFFF0000"/>
      </font>
      <fill>
        <patternFill>
          <bgColor rgb="FFFFC7CE"/>
        </patternFill>
      </fill>
    </dxf>
    <dxf>
      <font>
        <b val="1"/>
        <color rgb="FF0AD305"/>
      </font>
      <fill>
        <patternFill>
          <bgColor rgb="FFFFFF00"/>
        </patternFill>
      </fill>
    </dxf>
    <dxf>
      <font>
        <b val="1"/>
      </font>
      <fill>
        <patternFill>
          <bgColor rgb="FFFFFF00"/>
        </patternFill>
      </fill>
    </dxf>
    <dxf>
      <font>
        <b val="1"/>
        <color rgb="FFFF0000"/>
      </font>
    </dxf>
    <dxf>
      <fill>
        <patternFill>
          <bgColor rgb="FFFFFF00"/>
        </patternFill>
      </fill>
    </dxf>
    <dxf>
      <fill>
        <patternFill patternType="solid">
          <fgColor rgb="FF99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FC5E8"/>
          <bgColor rgb="FF000000"/>
        </patternFill>
      </fill>
    </dxf>
    <dxf>
      <fill>
        <patternFill patternType="solid">
          <fgColor rgb="FFA4C2F4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B7B7B7"/>
          <bgColor rgb="FF000000"/>
        </patternFill>
      </fill>
    </dxf>
    <dxf>
      <fill>
        <patternFill patternType="solid">
          <fgColor rgb="FFBF9000"/>
          <bgColor rgb="FF000000"/>
        </patternFill>
      </fill>
    </dxf>
    <dxf>
      <fill>
        <patternFill patternType="solid">
          <fgColor rgb="FFE69138"/>
          <bgColor rgb="FF000000"/>
        </patternFill>
      </fill>
    </dxf>
    <dxf>
      <fill>
        <patternFill patternType="solid">
          <fgColor rgb="FFF1C232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D5A6B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>
          <bgColor rgb="FFB7E1CD"/>
        </patternFill>
      </fill>
    </dxf>
    <dxf>
      <fill>
        <patternFill>
          <bgColor rgb="FFE69138"/>
        </patternFill>
      </fill>
    </dxf>
    <dxf>
      <fill>
        <patternFill>
          <bgColor rgb="FF38761D"/>
        </patternFill>
      </fill>
    </dxf>
    <dxf>
      <fill>
        <patternFill>
          <bgColor rgb="FF3C78D8"/>
        </patternFill>
      </fill>
    </dxf>
    <dxf>
      <fill>
        <patternFill>
          <bgColor rgb="FF674EA7"/>
        </patternFill>
      </fill>
    </dxf>
    <dxf>
      <fill>
        <patternFill>
          <bgColor rgb="FFA64D79"/>
        </patternFill>
      </fill>
    </dxf>
    <dxf>
      <fill>
        <patternFill>
          <bgColor rgb="FFFFE599"/>
        </patternFill>
      </fill>
    </dxf>
    <dxf>
      <fill>
        <patternFill>
          <bgColor rgb="FFB6D7A8"/>
        </patternFill>
      </fill>
    </dxf>
    <dxf>
      <fill>
        <patternFill>
          <bgColor rgb="FFEA9999"/>
        </patternFill>
      </fill>
    </dxf>
    <dxf>
      <fill>
        <patternFill>
          <bgColor rgb="FF999999"/>
        </patternFill>
      </fill>
    </dxf>
    <dxf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5A6BD"/>
        </patternFill>
      </fill>
    </dxf>
    <dxf>
      <fill>
        <patternFill>
          <bgColor rgb="FFF4CCCC"/>
        </patternFill>
      </fill>
    </dxf>
    <dxf>
      <fill>
        <patternFill>
          <bgColor rgb="FFA4C2F4"/>
        </patternFill>
      </fill>
    </dxf>
    <dxf>
      <fill>
        <patternFill patternType="solid">
          <fgColor rgb="FF00FFFF"/>
          <bgColor rgb="FF000000"/>
        </patternFill>
      </fill>
    </dxf>
    <dxf>
      <fill>
        <patternFill patternType="solid">
          <fgColor rgb="FF38761D"/>
          <bgColor rgb="FF000000"/>
        </patternFill>
      </fill>
    </dxf>
    <dxf>
      <fill>
        <patternFill patternType="solid">
          <fgColor rgb="FF3C78D8"/>
          <bgColor rgb="FF000000"/>
        </patternFill>
      </fill>
    </dxf>
    <dxf>
      <fill>
        <patternFill patternType="solid">
          <fgColor rgb="FF674EA7"/>
          <bgColor rgb="FF000000"/>
        </patternFill>
      </fill>
    </dxf>
    <dxf>
      <fill>
        <patternFill patternType="solid">
          <fgColor rgb="FFA64D7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EA9999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3D85C6"/>
        </patternFill>
      </fill>
    </dxf>
    <dxf>
      <fill>
        <patternFill>
          <bgColor rgb="FF9FC5E8"/>
        </patternFill>
      </fill>
    </dxf>
    <dxf>
      <fill>
        <patternFill>
          <bgColor rgb="FF6FA8DC"/>
        </patternFill>
      </fill>
    </dxf>
    <dxf>
      <fill>
        <patternFill>
          <bgColor rgb="FFD0E0E3"/>
        </patternFill>
      </fill>
    </dxf>
    <dxf>
      <fill>
        <patternFill>
          <bgColor rgb="FFC9DAF8"/>
        </patternFill>
      </fill>
    </dxf>
    <dxf>
      <fill>
        <patternFill>
          <bgColor rgb="FFEAD1D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EDE7F6"/>
      <rgbColor rgb="FF7F6000"/>
      <rgbColor rgb="FF7030A0"/>
      <rgbColor rgb="FF38761D"/>
      <rgbColor rgb="FFB7B7B7"/>
      <rgbColor rgb="FFA6A6A6"/>
      <rgbColor rgb="FF6FA8DC"/>
      <rgbColor rgb="FF7F3F3F"/>
      <rgbColor rgb="FFFFF2CC"/>
      <rgbColor rgb="FFDDEBF7"/>
      <rgbColor rgb="FF674EA7"/>
      <rgbColor rgb="FFFFC7CE"/>
      <rgbColor rgb="FF1155CC"/>
      <rgbColor rgb="FFCCCCEE"/>
      <rgbColor rgb="FFF2F2F2"/>
      <rgbColor rgb="FFF4CCCC"/>
      <rgbColor rgb="FFFFE599"/>
      <rgbColor rgb="FFC9DAF8"/>
      <rgbColor rgb="FF9900FF"/>
      <rgbColor rgb="FFEAD1DC"/>
      <rgbColor rgb="FF0AD305"/>
      <rgbColor rgb="FFD0E0E3"/>
      <rgbColor rgb="FFB7E1CD"/>
      <rgbColor rgb="FFD9EAD3"/>
      <rgbColor rgb="FFC6EFCE"/>
      <rgbColor rgb="FFFFE699"/>
      <rgbColor rgb="FF9FC5E8"/>
      <rgbColor rgb="FFEA9999"/>
      <rgbColor rgb="FFD5A6BD"/>
      <rgbColor rgb="FFF8CBAD"/>
      <rgbColor rgb="FF3C78D8"/>
      <rgbColor rgb="FFA4C2F4"/>
      <rgbColor rgb="FFB6D7A8"/>
      <rgbColor rgb="FFF1C232"/>
      <rgbColor rgb="FFE69138"/>
      <rgbColor rgb="FFBF9000"/>
      <rgbColor rgb="FF5B6B7F"/>
      <rgbColor rgb="FF999999"/>
      <rgbColor rgb="FF1F3A5F"/>
      <rgbColor rgb="FF3D85C6"/>
      <rgbColor rgb="FFD9D9D9"/>
      <rgbColor rgb="FF274E13"/>
      <rgbColor rgb="FFD0D0D0"/>
      <rgbColor rgb="FFA64D79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ww.jax.org/strain/000664" TargetMode="External"/><Relationship Id="rId2" Type="http://schemas.openxmlformats.org/officeDocument/2006/relationships/hyperlink" Target="http://www.jax.org/strain/017320" TargetMode="External"/><Relationship Id="rId3" Type="http://schemas.openxmlformats.org/officeDocument/2006/relationships/hyperlink" Target="https://www.jax.org/strain/006143" TargetMode="External"/><Relationship Id="rId4" Type="http://schemas.openxmlformats.org/officeDocument/2006/relationships/hyperlink" Target="https://www.jax.org/strain/017893" TargetMode="External"/><Relationship Id="rId5" Type="http://schemas.openxmlformats.org/officeDocument/2006/relationships/hyperlink" Target="https://www.jax.org/strain/007905" TargetMode="External"/><Relationship Id="rId6" Type="http://schemas.openxmlformats.org/officeDocument/2006/relationships/hyperlink" Target="http://kac.koki.hu/menu.php?menuid=ogr_vonal" TargetMode="External"/><Relationship Id="rId7" Type="http://schemas.openxmlformats.org/officeDocument/2006/relationships/hyperlink" Target="https://www.jax.org/strain/24275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3"/>
    </row>
    <row r="5" customFormat="false" ht="15" hidden="false" customHeight="true" outlineLevel="0" collapsed="false">
      <c r="B5" s="4" t="s">
        <v>2</v>
      </c>
    </row>
    <row r="6" customFormat="false" ht="23.25" hidden="false" customHeight="true" outlineLevel="0" collapsed="false">
      <c r="B6" s="3" t="s">
        <v>3</v>
      </c>
    </row>
    <row r="7" customFormat="false" ht="15" hidden="false" customHeight="true" outlineLevel="0" collapsed="false">
      <c r="B7" s="3" t="s">
        <v>4</v>
      </c>
    </row>
    <row r="8" customFormat="false" ht="15" hidden="false" customHeight="true" outlineLevel="0" collapsed="false">
      <c r="B8" s="3" t="s">
        <v>5</v>
      </c>
    </row>
    <row r="9" customFormat="false" ht="15" hidden="false" customHeight="true" outlineLevel="0" collapsed="false">
      <c r="B9" s="3" t="s">
        <v>6</v>
      </c>
    </row>
    <row r="10" customFormat="false" ht="15" hidden="false" customHeight="true" outlineLevel="0" collapsed="false">
      <c r="B10" s="3" t="s">
        <v>7</v>
      </c>
    </row>
    <row r="11" customFormat="false" ht="15" hidden="false" customHeight="true" outlineLevel="0" collapsed="false">
      <c r="B11" s="3"/>
    </row>
    <row r="12" customFormat="false" ht="15" hidden="false" customHeight="true" outlineLevel="0" collapsed="false">
      <c r="B12" s="4" t="s">
        <v>8</v>
      </c>
    </row>
    <row r="13" customFormat="false" ht="23.25" hidden="false" customHeight="true" outlineLevel="0" collapsed="false">
      <c r="B13" s="3" t="s">
        <v>9</v>
      </c>
    </row>
    <row r="14" customFormat="false" ht="15" hidden="false" customHeight="true" outlineLevel="0" collapsed="false">
      <c r="B14" s="3" t="s">
        <v>10</v>
      </c>
    </row>
    <row r="15" customFormat="false" ht="15" hidden="false" customHeight="true" outlineLevel="0" collapsed="false">
      <c r="B15" s="3"/>
    </row>
    <row r="16" customFormat="false" ht="15" hidden="false" customHeight="true" outlineLevel="0" collapsed="false">
      <c r="B16" s="4" t="s">
        <v>11</v>
      </c>
    </row>
    <row r="17" customFormat="false" ht="23.25" hidden="false" customHeight="true" outlineLevel="0" collapsed="false">
      <c r="B17" s="3" t="s">
        <v>12</v>
      </c>
    </row>
    <row r="18" customFormat="false" ht="15" hidden="false" customHeight="true" outlineLevel="0" collapsed="false">
      <c r="B18" s="3" t="s">
        <v>13</v>
      </c>
    </row>
    <row r="19" customFormat="false" ht="23.25" hidden="false" customHeight="true" outlineLevel="0" collapsed="false">
      <c r="B19" s="3" t="s">
        <v>14</v>
      </c>
    </row>
    <row r="20" customFormat="false" ht="15" hidden="false" customHeight="true" outlineLevel="0" collapsed="false">
      <c r="B20" s="3"/>
    </row>
    <row r="21" customFormat="false" ht="15" hidden="false" customHeight="true" outlineLevel="0" collapsed="false">
      <c r="B21" s="4" t="s">
        <v>15</v>
      </c>
    </row>
    <row r="22" customFormat="false" ht="23.25" hidden="false" customHeight="true" outlineLevel="0" collapsed="false">
      <c r="B22" s="3" t="s">
        <v>16</v>
      </c>
    </row>
    <row r="23" customFormat="false" ht="15" hidden="false" customHeight="true" outlineLevel="0" collapsed="false">
      <c r="B23" s="3" t="s">
        <v>17</v>
      </c>
    </row>
    <row r="24" customFormat="false" ht="15" hidden="false" customHeight="true" outlineLevel="0" collapsed="false">
      <c r="B24" s="3"/>
    </row>
    <row r="25" customFormat="false" ht="15" hidden="false" customHeight="true" outlineLevel="0" collapsed="false">
      <c r="B25" s="4" t="s">
        <v>18</v>
      </c>
    </row>
    <row r="26" customFormat="false" ht="23.25" hidden="false" customHeight="true" outlineLevel="0" collapsed="false">
      <c r="B26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4"/>
    <col collapsed="false" customWidth="true" hidden="false" outlineLevel="0" max="3" min="3" style="1" width="6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8" min="7" style="1" width="9"/>
    <col collapsed="false" customWidth="true" hidden="false" outlineLevel="0" max="9" min="9" style="1" width="34"/>
    <col collapsed="false" customWidth="true" hidden="false" outlineLevel="0" max="11" min="10" style="1" width="10"/>
    <col collapsed="false" customWidth="true" hidden="false" outlineLevel="0" max="12" min="12" style="1" width="13"/>
    <col collapsed="false" customWidth="true" hidden="false" outlineLevel="0" max="13" min="13" style="1" width="12"/>
    <col collapsed="false" customWidth="true" hidden="false" outlineLevel="0" max="14" min="14" style="1" width="34"/>
  </cols>
  <sheetData>
    <row r="1" customFormat="false" ht="30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5" t="s">
        <v>33</v>
      </c>
    </row>
    <row r="2" customFormat="false" ht="15" hidden="false" customHeight="true" outlineLevel="0" collapsed="false">
      <c r="A2" s="7" t="s">
        <v>34</v>
      </c>
      <c r="B2" s="7" t="s">
        <v>35</v>
      </c>
      <c r="C2" s="7" t="s">
        <v>36</v>
      </c>
      <c r="D2" s="8" t="n">
        <v>46048</v>
      </c>
      <c r="E2" s="7" t="s">
        <v>37</v>
      </c>
      <c r="F2" s="7" t="s">
        <v>38</v>
      </c>
      <c r="G2" s="7"/>
      <c r="H2" s="7"/>
      <c r="I2" s="7" t="s">
        <v>39</v>
      </c>
      <c r="J2" s="9" t="n">
        <f aca="true">IF(D2="","",TODAY()-D2)</f>
        <v>273</v>
      </c>
      <c r="K2" s="9" t="n">
        <f aca="false">IF(J2="","",ROUND(J2/30.44,1))</f>
        <v>9</v>
      </c>
      <c r="L2" s="10" t="str">
        <f aca="false">IF(A2="","",IF(OR(F2="Retired",F2="Terminated"),"-",IF(D2="","NO DATE",IF(J2&gt;=Settings!$B$2,"OVER AGE",IF(J2&gt;=Settings!$B$2-Settings!$B$3,"Replace soon",IF(J2&lt;Settings!$B$4,"Too young","OK"))))))</f>
        <v>OK</v>
      </c>
      <c r="M2" s="11" t="n">
        <f aca="false">IF(D2="","",D2+Settings!$B$2)</f>
        <v>46413</v>
      </c>
    </row>
    <row r="3" customFormat="false" ht="15" hidden="false" customHeight="true" outlineLevel="0" collapsed="false">
      <c r="A3" s="7" t="s">
        <v>40</v>
      </c>
      <c r="B3" s="7" t="s">
        <v>35</v>
      </c>
      <c r="C3" s="7" t="s">
        <v>41</v>
      </c>
      <c r="D3" s="8" t="n">
        <v>46029</v>
      </c>
      <c r="E3" s="7" t="s">
        <v>37</v>
      </c>
      <c r="F3" s="7" t="s">
        <v>38</v>
      </c>
      <c r="G3" s="7"/>
      <c r="H3" s="7"/>
      <c r="I3" s="7" t="s">
        <v>39</v>
      </c>
      <c r="J3" s="9" t="n">
        <f aca="true">IF(D3="","",TODAY()-D3)</f>
        <v>292</v>
      </c>
      <c r="K3" s="9" t="n">
        <f aca="false">IF(J3="","",ROUND(J3/30.44,1))</f>
        <v>9.6</v>
      </c>
      <c r="L3" s="10" t="str">
        <f aca="false">IF(A3="","",IF(OR(F3="Retired",F3="Terminated"),"-",IF(D3="","NO DATE",IF(J3&gt;=Settings!$B$2,"OVER AGE",IF(J3&gt;=Settings!$B$2-Settings!$B$3,"Replace soon",IF(J3&lt;Settings!$B$4,"Too young","OK"))))))</f>
        <v>OK</v>
      </c>
      <c r="M3" s="11" t="n">
        <f aca="false">IF(D3="","",D3+Settings!$B$2)</f>
        <v>46394</v>
      </c>
    </row>
    <row r="4" customFormat="false" ht="15" hidden="false" customHeight="true" outlineLevel="0" collapsed="false">
      <c r="A4" s="7" t="s">
        <v>42</v>
      </c>
      <c r="B4" s="7" t="s">
        <v>43</v>
      </c>
      <c r="C4" s="7" t="s">
        <v>36</v>
      </c>
      <c r="D4" s="8" t="n">
        <v>46193</v>
      </c>
      <c r="E4" s="7" t="s">
        <v>44</v>
      </c>
      <c r="F4" s="7" t="s">
        <v>38</v>
      </c>
      <c r="G4" s="7"/>
      <c r="H4" s="7"/>
      <c r="I4" s="7" t="s">
        <v>45</v>
      </c>
      <c r="J4" s="9" t="n">
        <f aca="true">IF(D4="","",TODAY()-D4)</f>
        <v>128</v>
      </c>
      <c r="K4" s="9" t="n">
        <f aca="false">IF(J4="","",ROUND(J4/30.44,1))</f>
        <v>4.2</v>
      </c>
      <c r="L4" s="10" t="str">
        <f aca="false">IF(A4="","",IF(OR(F4="Retired",F4="Terminated"),"-",IF(D4="","NO DATE",IF(J4&gt;=Settings!$B$2,"OVER AGE",IF(J4&gt;=Settings!$B$2-Settings!$B$3,"Replace soon",IF(J4&lt;Settings!$B$4,"Too young","OK"))))))</f>
        <v>OK</v>
      </c>
      <c r="M4" s="11" t="n">
        <f aca="false">IF(D4="","",D4+Settings!$B$2)</f>
        <v>46558</v>
      </c>
    </row>
    <row r="5" customFormat="false" ht="15" hidden="false" customHeight="true" outlineLevel="0" collapsed="false">
      <c r="A5" s="7" t="s">
        <v>46</v>
      </c>
      <c r="B5" s="7" t="s">
        <v>47</v>
      </c>
      <c r="C5" s="7" t="s">
        <v>41</v>
      </c>
      <c r="D5" s="8" t="n">
        <v>46141</v>
      </c>
      <c r="E5" s="7" t="s">
        <v>44</v>
      </c>
      <c r="F5" s="7" t="s">
        <v>38</v>
      </c>
      <c r="G5" s="7"/>
      <c r="H5" s="7"/>
      <c r="I5" s="7" t="s">
        <v>45</v>
      </c>
      <c r="J5" s="9" t="n">
        <f aca="true">IF(D5="","",TODAY()-D5)</f>
        <v>180</v>
      </c>
      <c r="K5" s="9" t="n">
        <f aca="false">IF(J5="","",ROUND(J5/30.44,1))</f>
        <v>5.9</v>
      </c>
      <c r="L5" s="10" t="str">
        <f aca="false">IF(A5="","",IF(OR(F5="Retired",F5="Terminated"),"-",IF(D5="","NO DATE",IF(J5&gt;=Settings!$B$2,"OVER AGE",IF(J5&gt;=Settings!$B$2-Settings!$B$3,"Replace soon",IF(J5&lt;Settings!$B$4,"Too young","OK"))))))</f>
        <v>OK</v>
      </c>
      <c r="M5" s="11" t="n">
        <f aca="false">IF(D5="","",D5+Settings!$B$2)</f>
        <v>46506</v>
      </c>
    </row>
    <row r="6" customFormat="false" ht="15" hidden="false" customHeight="true" outlineLevel="0" collapsed="false">
      <c r="A6" s="7" t="s">
        <v>48</v>
      </c>
      <c r="B6" s="7" t="s">
        <v>43</v>
      </c>
      <c r="C6" s="7" t="s">
        <v>41</v>
      </c>
      <c r="D6" s="8" t="n">
        <v>45943</v>
      </c>
      <c r="E6" s="7" t="s">
        <v>49</v>
      </c>
      <c r="F6" s="7" t="s">
        <v>38</v>
      </c>
      <c r="G6" s="7"/>
      <c r="H6" s="7"/>
      <c r="I6" s="7" t="s">
        <v>50</v>
      </c>
      <c r="J6" s="9" t="n">
        <f aca="true">IF(D6="","",TODAY()-D6)</f>
        <v>378</v>
      </c>
      <c r="K6" s="9" t="n">
        <f aca="false">IF(J6="","",ROUND(J6/30.44,1))</f>
        <v>12.4</v>
      </c>
      <c r="L6" s="10" t="str">
        <f aca="false">IF(A6="","",IF(OR(F6="Retired",F6="Terminated"),"-",IF(D6="","NO DATE",IF(J6&gt;=Settings!$B$2,"OVER AGE",IF(J6&gt;=Settings!$B$2-Settings!$B$3,"Replace soon",IF(J6&lt;Settings!$B$4,"Too young","OK"))))))</f>
        <v>OVER AGE</v>
      </c>
      <c r="M6" s="11" t="n">
        <f aca="false">IF(D6="","",D6+Settings!$B$2)</f>
        <v>46308</v>
      </c>
    </row>
    <row r="7" customFormat="false" ht="15" hidden="false" customHeight="true" outlineLevel="0" collapsed="false">
      <c r="A7" s="7" t="s">
        <v>51</v>
      </c>
      <c r="B7" s="7" t="s">
        <v>47</v>
      </c>
      <c r="C7" s="7" t="s">
        <v>36</v>
      </c>
      <c r="D7" s="8" t="n">
        <v>46022</v>
      </c>
      <c r="E7" s="7" t="s">
        <v>49</v>
      </c>
      <c r="F7" s="7" t="s">
        <v>38</v>
      </c>
      <c r="G7" s="7"/>
      <c r="H7" s="7"/>
      <c r="I7" s="7" t="s">
        <v>52</v>
      </c>
      <c r="J7" s="9" t="n">
        <f aca="true">IF(D7="","",TODAY()-D7)</f>
        <v>299</v>
      </c>
      <c r="K7" s="9" t="n">
        <f aca="false">IF(J7="","",ROUND(J7/30.44,1))</f>
        <v>9.8</v>
      </c>
      <c r="L7" s="10" t="str">
        <f aca="false">IF(A7="","",IF(OR(F7="Retired",F7="Terminated"),"-",IF(D7="","NO DATE",IF(J7&gt;=Settings!$B$2,"OVER AGE",IF(J7&gt;=Settings!$B$2-Settings!$B$3,"Replace soon",IF(J7&lt;Settings!$B$4,"Too young","OK"))))))</f>
        <v>OK</v>
      </c>
      <c r="M7" s="11" t="n">
        <f aca="false">IF(D7="","",D7+Settings!$B$2)</f>
        <v>46387</v>
      </c>
      <c r="N7" s="1" t="s">
        <v>53</v>
      </c>
    </row>
    <row r="8" customFormat="false" ht="15" hidden="false" customHeight="true" outlineLevel="0" collapsed="false">
      <c r="A8" s="7" t="s">
        <v>54</v>
      </c>
      <c r="B8" s="7" t="s">
        <v>43</v>
      </c>
      <c r="C8" s="7" t="s">
        <v>41</v>
      </c>
      <c r="D8" s="8" t="n">
        <v>45943</v>
      </c>
      <c r="E8" s="7" t="s">
        <v>55</v>
      </c>
      <c r="F8" s="7" t="s">
        <v>38</v>
      </c>
      <c r="G8" s="7"/>
      <c r="H8" s="7"/>
      <c r="I8" s="7" t="s">
        <v>56</v>
      </c>
      <c r="J8" s="9" t="n">
        <f aca="true">IF(D8="","",TODAY()-D8)</f>
        <v>378</v>
      </c>
      <c r="K8" s="9" t="n">
        <f aca="false">IF(J8="","",ROUND(J8/30.44,1))</f>
        <v>12.4</v>
      </c>
      <c r="L8" s="10" t="str">
        <f aca="false">IF(A8="","",IF(OR(F8="Retired",F8="Terminated"),"-",IF(D8="","NO DATE",IF(J8&gt;=Settings!$B$2,"OVER AGE",IF(J8&gt;=Settings!$B$2-Settings!$B$3,"Replace soon",IF(J8&lt;Settings!$B$4,"Too young","OK"))))))</f>
        <v>OVER AGE</v>
      </c>
      <c r="M8" s="11" t="n">
        <f aca="false">IF(D8="","",D8+Settings!$B$2)</f>
        <v>46308</v>
      </c>
    </row>
    <row r="9" customFormat="false" ht="15" hidden="false" customHeight="true" outlineLevel="0" collapsed="false">
      <c r="A9" s="7" t="s">
        <v>57</v>
      </c>
      <c r="B9" s="7" t="s">
        <v>47</v>
      </c>
      <c r="C9" s="7" t="s">
        <v>36</v>
      </c>
      <c r="D9" s="8" t="n">
        <v>46184</v>
      </c>
      <c r="E9" s="7" t="s">
        <v>55</v>
      </c>
      <c r="F9" s="7" t="s">
        <v>38</v>
      </c>
      <c r="G9" s="7"/>
      <c r="H9" s="7"/>
      <c r="I9" s="7" t="s">
        <v>58</v>
      </c>
      <c r="J9" s="9" t="n">
        <f aca="true">IF(D9="","",TODAY()-D9)</f>
        <v>137</v>
      </c>
      <c r="K9" s="9" t="n">
        <f aca="false">IF(J9="","",ROUND(J9/30.44,1))</f>
        <v>4.5</v>
      </c>
      <c r="L9" s="10" t="str">
        <f aca="false">IF(A9="","",IF(OR(F9="Retired",F9="Terminated"),"-",IF(D9="","NO DATE",IF(J9&gt;=Settings!$B$2,"OVER AGE",IF(J9&gt;=Settings!$B$2-Settings!$B$3,"Replace soon",IF(J9&lt;Settings!$B$4,"Too young","OK"))))))</f>
        <v>OK</v>
      </c>
      <c r="M9" s="11" t="n">
        <f aca="false">IF(D9="","",D9+Settings!$B$2)</f>
        <v>46549</v>
      </c>
      <c r="N9" s="1" t="s">
        <v>53</v>
      </c>
    </row>
    <row r="10" customFormat="false" ht="15" hidden="false" customHeight="true" outlineLevel="0" collapsed="false">
      <c r="A10" s="7" t="s">
        <v>59</v>
      </c>
      <c r="B10" s="7" t="s">
        <v>47</v>
      </c>
      <c r="C10" s="7" t="s">
        <v>36</v>
      </c>
      <c r="D10" s="8" t="n">
        <v>46184</v>
      </c>
      <c r="E10" s="7" t="s">
        <v>55</v>
      </c>
      <c r="F10" s="7" t="s">
        <v>38</v>
      </c>
      <c r="G10" s="7"/>
      <c r="H10" s="7"/>
      <c r="I10" s="7" t="s">
        <v>58</v>
      </c>
      <c r="J10" s="9" t="n">
        <f aca="true">IF(D10="","",TODAY()-D10)</f>
        <v>137</v>
      </c>
      <c r="K10" s="9" t="n">
        <f aca="false">IF(J10="","",ROUND(J10/30.44,1))</f>
        <v>4.5</v>
      </c>
      <c r="L10" s="10" t="str">
        <f aca="false">IF(A10="","",IF(OR(F10="Retired",F10="Terminated"),"-",IF(D10="","NO DATE",IF(J10&gt;=Settings!$B$2,"OVER AGE",IF(J10&gt;=Settings!$B$2-Settings!$B$3,"Replace soon",IF(J10&lt;Settings!$B$4,"Too young","OK"))))))</f>
        <v>OK</v>
      </c>
      <c r="M10" s="11" t="n">
        <f aca="false">IF(D10="","",D10+Settings!$B$2)</f>
        <v>46549</v>
      </c>
      <c r="N10" s="1" t="s">
        <v>53</v>
      </c>
    </row>
    <row r="11" customFormat="false" ht="15" hidden="false" customHeight="true" outlineLevel="0" collapsed="false">
      <c r="A11" s="7" t="s">
        <v>60</v>
      </c>
      <c r="B11" s="7" t="s">
        <v>43</v>
      </c>
      <c r="C11" s="7" t="s">
        <v>41</v>
      </c>
      <c r="D11" s="8" t="n">
        <v>45828</v>
      </c>
      <c r="E11" s="7" t="s">
        <v>61</v>
      </c>
      <c r="F11" s="7" t="s">
        <v>62</v>
      </c>
      <c r="G11" s="7"/>
      <c r="H11" s="7"/>
      <c r="I11" s="7" t="s">
        <v>63</v>
      </c>
      <c r="J11" s="9" t="n">
        <f aca="true">IF(D11="","",TODAY()-D11)</f>
        <v>493</v>
      </c>
      <c r="K11" s="9" t="n">
        <f aca="false">IF(J11="","",ROUND(J11/30.44,1))</f>
        <v>16.2</v>
      </c>
      <c r="L11" s="10" t="str">
        <f aca="false">IF(A11="","",IF(OR(F11="Retired",F11="Terminated"),"-",IF(D11="","NO DATE",IF(J11&gt;=Settings!$B$2,"OVER AGE",IF(J11&gt;=Settings!$B$2-Settings!$B$3,"Replace soon",IF(J11&lt;Settings!$B$4,"Too young","OK"))))))</f>
        <v>-</v>
      </c>
      <c r="M11" s="11" t="n">
        <f aca="false">IF(D11="","",D11+Settings!$B$2)</f>
        <v>46193</v>
      </c>
    </row>
    <row r="12" customFormat="false" ht="15" hidden="false" customHeight="true" outlineLevel="0" collapsed="false">
      <c r="A12" s="7" t="s">
        <v>64</v>
      </c>
      <c r="B12" s="7" t="s">
        <v>47</v>
      </c>
      <c r="C12" s="7" t="s">
        <v>36</v>
      </c>
      <c r="D12" s="8" t="n">
        <v>45706</v>
      </c>
      <c r="E12" s="7" t="s">
        <v>61</v>
      </c>
      <c r="F12" s="7" t="s">
        <v>62</v>
      </c>
      <c r="G12" s="7"/>
      <c r="H12" s="7"/>
      <c r="I12" s="7" t="s">
        <v>65</v>
      </c>
      <c r="J12" s="9" t="n">
        <f aca="true">IF(D12="","",TODAY()-D12)</f>
        <v>615</v>
      </c>
      <c r="K12" s="9" t="n">
        <f aca="false">IF(J12="","",ROUND(J12/30.44,1))</f>
        <v>20.2</v>
      </c>
      <c r="L12" s="10" t="str">
        <f aca="false">IF(A12="","",IF(OR(F12="Retired",F12="Terminated"),"-",IF(D12="","NO DATE",IF(J12&gt;=Settings!$B$2,"OVER AGE",IF(J12&gt;=Settings!$B$2-Settings!$B$3,"Replace soon",IF(J12&lt;Settings!$B$4,"Too young","OK"))))))</f>
        <v>-</v>
      </c>
      <c r="M12" s="11" t="n">
        <f aca="false">IF(D12="","",D12+Settings!$B$2)</f>
        <v>46071</v>
      </c>
      <c r="N12" s="1" t="s">
        <v>53</v>
      </c>
    </row>
    <row r="13" customFormat="false" ht="15" hidden="false" customHeight="true" outlineLevel="0" collapsed="false">
      <c r="A13" s="7" t="s">
        <v>66</v>
      </c>
      <c r="B13" s="7" t="s">
        <v>67</v>
      </c>
      <c r="C13" s="7" t="s">
        <v>41</v>
      </c>
      <c r="D13" s="8" t="n">
        <v>46117</v>
      </c>
      <c r="E13" s="7" t="s">
        <v>68</v>
      </c>
      <c r="F13" s="7" t="s">
        <v>38</v>
      </c>
      <c r="G13" s="7"/>
      <c r="H13" s="7"/>
      <c r="I13" s="7" t="s">
        <v>69</v>
      </c>
      <c r="J13" s="9" t="n">
        <f aca="true">IF(D13="","",TODAY()-D13)</f>
        <v>204</v>
      </c>
      <c r="K13" s="9" t="n">
        <f aca="false">IF(J13="","",ROUND(J13/30.44,1))</f>
        <v>6.7</v>
      </c>
      <c r="L13" s="10" t="str">
        <f aca="false">IF(A13="","",IF(OR(F13="Retired",F13="Terminated"),"-",IF(D13="","NO DATE",IF(J13&gt;=Settings!$B$2,"OVER AGE",IF(J13&gt;=Settings!$B$2-Settings!$B$3,"Replace soon",IF(J13&lt;Settings!$B$4,"Too young","OK"))))))</f>
        <v>OK</v>
      </c>
      <c r="M13" s="11" t="n">
        <f aca="false">IF(D13="","",D13+Settings!$B$2)</f>
        <v>46482</v>
      </c>
    </row>
    <row r="14" customFormat="false" ht="15" hidden="false" customHeight="true" outlineLevel="0" collapsed="false">
      <c r="A14" s="7" t="s">
        <v>70</v>
      </c>
      <c r="B14" s="7" t="s">
        <v>67</v>
      </c>
      <c r="C14" s="7" t="s">
        <v>36</v>
      </c>
      <c r="D14" s="8" t="n">
        <v>46034</v>
      </c>
      <c r="E14" s="7" t="s">
        <v>68</v>
      </c>
      <c r="F14" s="7" t="s">
        <v>38</v>
      </c>
      <c r="G14" s="7"/>
      <c r="H14" s="7"/>
      <c r="I14" s="7" t="s">
        <v>69</v>
      </c>
      <c r="J14" s="9" t="n">
        <f aca="true">IF(D14="","",TODAY()-D14)</f>
        <v>287</v>
      </c>
      <c r="K14" s="9" t="n">
        <f aca="false">IF(J14="","",ROUND(J14/30.44,1))</f>
        <v>9.4</v>
      </c>
      <c r="L14" s="10" t="str">
        <f aca="false">IF(A14="","",IF(OR(F14="Retired",F14="Terminated"),"-",IF(D14="","NO DATE",IF(J14&gt;=Settings!$B$2,"OVER AGE",IF(J14&gt;=Settings!$B$2-Settings!$B$3,"Replace soon",IF(J14&lt;Settings!$B$4,"Too young","OK"))))))</f>
        <v>OK</v>
      </c>
      <c r="M14" s="11" t="n">
        <f aca="false">IF(D14="","",D14+Settings!$B$2)</f>
        <v>46399</v>
      </c>
    </row>
    <row r="15" customFormat="false" ht="15" hidden="false" customHeight="true" outlineLevel="0" collapsed="false">
      <c r="A15" s="7" t="s">
        <v>71</v>
      </c>
      <c r="B15" s="7" t="s">
        <v>72</v>
      </c>
      <c r="C15" s="7" t="s">
        <v>41</v>
      </c>
      <c r="D15" s="8" t="n">
        <v>45889</v>
      </c>
      <c r="E15" s="7" t="s">
        <v>73</v>
      </c>
      <c r="F15" s="7" t="s">
        <v>38</v>
      </c>
      <c r="G15" s="7"/>
      <c r="H15" s="7"/>
      <c r="I15" s="7" t="s">
        <v>74</v>
      </c>
      <c r="J15" s="9" t="n">
        <f aca="true">IF(D15="","",TODAY()-D15)</f>
        <v>432</v>
      </c>
      <c r="K15" s="9" t="n">
        <f aca="false">IF(J15="","",ROUND(J15/30.44,1))</f>
        <v>14.2</v>
      </c>
      <c r="L15" s="10" t="str">
        <f aca="false">IF(A15="","",IF(OR(F15="Retired",F15="Terminated"),"-",IF(D15="","NO DATE",IF(J15&gt;=Settings!$B$2,"OVER AGE",IF(J15&gt;=Settings!$B$2-Settings!$B$3,"Replace soon",IF(J15&lt;Settings!$B$4,"Too young","OK"))))))</f>
        <v>OVER AGE</v>
      </c>
      <c r="M15" s="11" t="n">
        <f aca="false">IF(D15="","",D15+Settings!$B$2)</f>
        <v>46254</v>
      </c>
    </row>
    <row r="16" customFormat="false" ht="15" hidden="false" customHeight="true" outlineLevel="0" collapsed="false">
      <c r="A16" s="7" t="s">
        <v>75</v>
      </c>
      <c r="B16" s="7" t="s">
        <v>72</v>
      </c>
      <c r="C16" s="7" t="s">
        <v>36</v>
      </c>
      <c r="D16" s="8" t="n">
        <v>45944</v>
      </c>
      <c r="E16" s="7" t="s">
        <v>73</v>
      </c>
      <c r="F16" s="7" t="s">
        <v>38</v>
      </c>
      <c r="G16" s="7"/>
      <c r="H16" s="7"/>
      <c r="I16" s="7" t="s">
        <v>74</v>
      </c>
      <c r="J16" s="9" t="n">
        <f aca="true">IF(D16="","",TODAY()-D16)</f>
        <v>377</v>
      </c>
      <c r="K16" s="9" t="n">
        <f aca="false">IF(J16="","",ROUND(J16/30.44,1))</f>
        <v>12.4</v>
      </c>
      <c r="L16" s="10" t="str">
        <f aca="false">IF(A16="","",IF(OR(F16="Retired",F16="Terminated"),"-",IF(D16="","NO DATE",IF(J16&gt;=Settings!$B$2,"OVER AGE",IF(J16&gt;=Settings!$B$2-Settings!$B$3,"Replace soon",IF(J16&lt;Settings!$B$4,"Too young","OK"))))))</f>
        <v>OVER AGE</v>
      </c>
      <c r="M16" s="11" t="n">
        <f aca="false">IF(D16="","",D16+Settings!$B$2)</f>
        <v>46309</v>
      </c>
    </row>
    <row r="17" customFormat="false" ht="15" hidden="false" customHeight="true" outlineLevel="0" collapsed="false">
      <c r="A17" s="7" t="s">
        <v>76</v>
      </c>
      <c r="B17" s="7" t="s">
        <v>77</v>
      </c>
      <c r="C17" s="7" t="s">
        <v>41</v>
      </c>
      <c r="D17" s="8" t="n">
        <v>46167</v>
      </c>
      <c r="E17" s="7" t="s">
        <v>78</v>
      </c>
      <c r="F17" s="7" t="s">
        <v>38</v>
      </c>
      <c r="G17" s="7"/>
      <c r="H17" s="7"/>
      <c r="I17" s="7" t="s">
        <v>79</v>
      </c>
      <c r="J17" s="9" t="n">
        <f aca="true">IF(D17="","",TODAY()-D17)</f>
        <v>154</v>
      </c>
      <c r="K17" s="9" t="n">
        <f aca="false">IF(J17="","",ROUND(J17/30.44,1))</f>
        <v>5.1</v>
      </c>
      <c r="L17" s="10" t="str">
        <f aca="false">IF(A17="","",IF(OR(F17="Retired",F17="Terminated"),"-",IF(D17="","NO DATE",IF(J17&gt;=Settings!$B$2,"OVER AGE",IF(J17&gt;=Settings!$B$2-Settings!$B$3,"Replace soon",IF(J17&lt;Settings!$B$4,"Too young","OK"))))))</f>
        <v>OK</v>
      </c>
      <c r="M17" s="11" t="n">
        <f aca="false">IF(D17="","",D17+Settings!$B$2)</f>
        <v>46532</v>
      </c>
    </row>
    <row r="18" customFormat="false" ht="15" hidden="false" customHeight="true" outlineLevel="0" collapsed="false">
      <c r="A18" s="7" t="s">
        <v>80</v>
      </c>
      <c r="B18" s="7" t="s">
        <v>77</v>
      </c>
      <c r="C18" s="7" t="s">
        <v>36</v>
      </c>
      <c r="D18" s="8" t="n">
        <v>46189</v>
      </c>
      <c r="E18" s="7" t="s">
        <v>78</v>
      </c>
      <c r="F18" s="7" t="s">
        <v>38</v>
      </c>
      <c r="G18" s="7"/>
      <c r="H18" s="7"/>
      <c r="I18" s="7" t="s">
        <v>79</v>
      </c>
      <c r="J18" s="9" t="n">
        <f aca="true">IF(D18="","",TODAY()-D18)</f>
        <v>132</v>
      </c>
      <c r="K18" s="9" t="n">
        <f aca="false">IF(J18="","",ROUND(J18/30.44,1))</f>
        <v>4.3</v>
      </c>
      <c r="L18" s="10" t="str">
        <f aca="false">IF(A18="","",IF(OR(F18="Retired",F18="Terminated"),"-",IF(D18="","NO DATE",IF(J18&gt;=Settings!$B$2,"OVER AGE",IF(J18&gt;=Settings!$B$2-Settings!$B$3,"Replace soon",IF(J18&lt;Settings!$B$4,"Too young","OK"))))))</f>
        <v>OK</v>
      </c>
      <c r="M18" s="11" t="n">
        <f aca="false">IF(D18="","",D18+Settings!$B$2)</f>
        <v>46554</v>
      </c>
    </row>
    <row r="19" customFormat="false" ht="15" hidden="false" customHeight="true" outlineLevel="0" collapsed="false">
      <c r="A19" s="7" t="s">
        <v>81</v>
      </c>
      <c r="B19" s="7" t="s">
        <v>82</v>
      </c>
      <c r="C19" s="7" t="s">
        <v>41</v>
      </c>
      <c r="D19" s="8" t="n">
        <v>45996</v>
      </c>
      <c r="E19" s="7" t="s">
        <v>83</v>
      </c>
      <c r="F19" s="7" t="s">
        <v>38</v>
      </c>
      <c r="G19" s="7"/>
      <c r="H19" s="7"/>
      <c r="I19" s="7" t="s">
        <v>84</v>
      </c>
      <c r="J19" s="9" t="n">
        <f aca="true">IF(D19="","",TODAY()-D19)</f>
        <v>325</v>
      </c>
      <c r="K19" s="9" t="n">
        <f aca="false">IF(J19="","",ROUND(J19/30.44,1))</f>
        <v>10.7</v>
      </c>
      <c r="L19" s="10" t="str">
        <f aca="false">IF(A19="","",IF(OR(F19="Retired",F19="Terminated"),"-",IF(D19="","NO DATE",IF(J19&gt;=Settings!$B$2,"OVER AGE",IF(J19&gt;=Settings!$B$2-Settings!$B$3,"Replace soon",IF(J19&lt;Settings!$B$4,"Too young","OK"))))))</f>
        <v>Replace soon</v>
      </c>
      <c r="M19" s="11" t="n">
        <f aca="false">IF(D19="","",D19+Settings!$B$2)</f>
        <v>46361</v>
      </c>
    </row>
    <row r="20" customFormat="false" ht="15" hidden="false" customHeight="true" outlineLevel="0" collapsed="false">
      <c r="A20" s="7" t="s">
        <v>85</v>
      </c>
      <c r="B20" s="7" t="s">
        <v>82</v>
      </c>
      <c r="C20" s="7" t="s">
        <v>36</v>
      </c>
      <c r="D20" s="8" t="n">
        <v>45979</v>
      </c>
      <c r="E20" s="7" t="s">
        <v>83</v>
      </c>
      <c r="F20" s="7" t="s">
        <v>38</v>
      </c>
      <c r="G20" s="7"/>
      <c r="H20" s="7"/>
      <c r="I20" s="7" t="s">
        <v>86</v>
      </c>
      <c r="J20" s="9" t="n">
        <f aca="true">IF(D20="","",TODAY()-D20)</f>
        <v>342</v>
      </c>
      <c r="K20" s="9" t="n">
        <f aca="false">IF(J20="","",ROUND(J20/30.44,1))</f>
        <v>11.2</v>
      </c>
      <c r="L20" s="10" t="str">
        <f aca="false">IF(A20="","",IF(OR(F20="Retired",F20="Terminated"),"-",IF(D20="","NO DATE",IF(J20&gt;=Settings!$B$2,"OVER AGE",IF(J20&gt;=Settings!$B$2-Settings!$B$3,"Replace soon",IF(J20&lt;Settings!$B$4,"Too young","OK"))))))</f>
        <v>Replace soon</v>
      </c>
      <c r="M20" s="11" t="n">
        <f aca="false">IF(D20="","",D20+Settings!$B$2)</f>
        <v>46344</v>
      </c>
    </row>
    <row r="21" customFormat="false" ht="15" hidden="false" customHeight="true" outlineLevel="0" collapsed="false">
      <c r="A21" s="7" t="s">
        <v>87</v>
      </c>
      <c r="B21" s="7" t="s">
        <v>82</v>
      </c>
      <c r="C21" s="7" t="s">
        <v>36</v>
      </c>
      <c r="D21" s="8" t="n">
        <v>45979</v>
      </c>
      <c r="E21" s="7" t="s">
        <v>83</v>
      </c>
      <c r="F21" s="7" t="s">
        <v>38</v>
      </c>
      <c r="G21" s="7"/>
      <c r="H21" s="7"/>
      <c r="I21" s="7" t="s">
        <v>86</v>
      </c>
      <c r="J21" s="9" t="n">
        <f aca="true">IF(D21="","",TODAY()-D21)</f>
        <v>342</v>
      </c>
      <c r="K21" s="9" t="n">
        <f aca="false">IF(J21="","",ROUND(J21/30.44,1))</f>
        <v>11.2</v>
      </c>
      <c r="L21" s="10" t="str">
        <f aca="false">IF(A21="","",IF(OR(F21="Retired",F21="Terminated"),"-",IF(D21="","NO DATE",IF(J21&gt;=Settings!$B$2,"OVER AGE",IF(J21&gt;=Settings!$B$2-Settings!$B$3,"Replace soon",IF(J21&lt;Settings!$B$4,"Too young","OK"))))))</f>
        <v>Replace soon</v>
      </c>
      <c r="M21" s="11" t="n">
        <f aca="false">IF(D21="","",D21+Settings!$B$2)</f>
        <v>46344</v>
      </c>
    </row>
    <row r="22" customFormat="false" ht="15" hidden="false" customHeight="true" outlineLevel="0" collapsed="false">
      <c r="A22" s="7" t="s">
        <v>88</v>
      </c>
      <c r="B22" s="7" t="s">
        <v>89</v>
      </c>
      <c r="C22" s="7" t="s">
        <v>41</v>
      </c>
      <c r="D22" s="8" t="n">
        <v>45959</v>
      </c>
      <c r="E22" s="7" t="s">
        <v>90</v>
      </c>
      <c r="F22" s="7" t="s">
        <v>38</v>
      </c>
      <c r="G22" s="7"/>
      <c r="H22" s="7"/>
      <c r="I22" s="7" t="s">
        <v>91</v>
      </c>
      <c r="J22" s="9" t="n">
        <f aca="true">IF(D22="","",TODAY()-D22)</f>
        <v>362</v>
      </c>
      <c r="K22" s="9" t="n">
        <f aca="false">IF(J22="","",ROUND(J22/30.44,1))</f>
        <v>11.9</v>
      </c>
      <c r="L22" s="10" t="str">
        <f aca="false">IF(A22="","",IF(OR(F22="Retired",F22="Terminated"),"-",IF(D22="","NO DATE",IF(J22&gt;=Settings!$B$2,"OVER AGE",IF(J22&gt;=Settings!$B$2-Settings!$B$3,"Replace soon",IF(J22&lt;Settings!$B$4,"Too young","OK"))))))</f>
        <v>Replace soon</v>
      </c>
      <c r="M22" s="11" t="n">
        <f aca="false">IF(D22="","",D22+Settings!$B$2)</f>
        <v>46324</v>
      </c>
      <c r="N22" s="12" t="s">
        <v>53</v>
      </c>
    </row>
    <row r="23" customFormat="false" ht="15" hidden="false" customHeight="true" outlineLevel="0" collapsed="false">
      <c r="A23" s="7" t="s">
        <v>92</v>
      </c>
      <c r="B23" s="7" t="s">
        <v>89</v>
      </c>
      <c r="C23" s="7" t="s">
        <v>36</v>
      </c>
      <c r="D23" s="8" t="n">
        <v>46022</v>
      </c>
      <c r="E23" s="7" t="s">
        <v>90</v>
      </c>
      <c r="F23" s="7" t="s">
        <v>38</v>
      </c>
      <c r="G23" s="7"/>
      <c r="H23" s="7"/>
      <c r="I23" s="7" t="s">
        <v>91</v>
      </c>
      <c r="J23" s="9" t="n">
        <f aca="true">IF(D23="","",TODAY()-D23)</f>
        <v>299</v>
      </c>
      <c r="K23" s="9" t="n">
        <f aca="false">IF(J23="","",ROUND(J23/30.44,1))</f>
        <v>9.8</v>
      </c>
      <c r="L23" s="10" t="str">
        <f aca="false">IF(A23="","",IF(OR(F23="Retired",F23="Terminated"),"-",IF(D23="","NO DATE",IF(J23&gt;=Settings!$B$2,"OVER AGE",IF(J23&gt;=Settings!$B$2-Settings!$B$3,"Replace soon",IF(J23&lt;Settings!$B$4,"Too young","OK"))))))</f>
        <v>OK</v>
      </c>
      <c r="M23" s="11" t="n">
        <f aca="false">IF(D23="","",D23+Settings!$B$2)</f>
        <v>46387</v>
      </c>
      <c r="N23" s="12" t="s">
        <v>53</v>
      </c>
    </row>
    <row r="24" customFormat="false" ht="15" hidden="false" customHeight="true" outlineLevel="0" collapsed="false">
      <c r="A24" s="7" t="s">
        <v>93</v>
      </c>
      <c r="B24" s="7" t="s">
        <v>35</v>
      </c>
      <c r="C24" s="7" t="s">
        <v>41</v>
      </c>
      <c r="D24" s="8" t="n">
        <v>46006</v>
      </c>
      <c r="E24" s="7" t="s">
        <v>94</v>
      </c>
      <c r="F24" s="7" t="s">
        <v>38</v>
      </c>
      <c r="G24" s="7"/>
      <c r="H24" s="7"/>
      <c r="I24" s="7" t="s">
        <v>95</v>
      </c>
      <c r="J24" s="9" t="n">
        <f aca="true">IF(D24="","",TODAY()-D24)</f>
        <v>315</v>
      </c>
      <c r="K24" s="9" t="n">
        <f aca="false">IF(J24="","",ROUND(J24/30.44,1))</f>
        <v>10.3</v>
      </c>
      <c r="L24" s="10" t="str">
        <f aca="false">IF(A24="","",IF(OR(F24="Retired",F24="Terminated"),"-",IF(D24="","NO DATE",IF(J24&gt;=Settings!$B$2,"OVER AGE",IF(J24&gt;=Settings!$B$2-Settings!$B$3,"Replace soon",IF(J24&lt;Settings!$B$4,"Too young","OK"))))))</f>
        <v>Replace soon</v>
      </c>
      <c r="M24" s="11" t="n">
        <f aca="false">IF(D24="","",D24+Settings!$B$2)</f>
        <v>46371</v>
      </c>
    </row>
    <row r="25" customFormat="false" ht="15" hidden="false" customHeight="true" outlineLevel="0" collapsed="false">
      <c r="A25" s="7" t="s">
        <v>96</v>
      </c>
      <c r="B25" s="7" t="s">
        <v>35</v>
      </c>
      <c r="C25" s="7" t="s">
        <v>36</v>
      </c>
      <c r="D25" s="8" t="n">
        <v>46060</v>
      </c>
      <c r="E25" s="7" t="s">
        <v>94</v>
      </c>
      <c r="F25" s="7" t="s">
        <v>38</v>
      </c>
      <c r="G25" s="7"/>
      <c r="H25" s="7"/>
      <c r="I25" s="7" t="s">
        <v>95</v>
      </c>
      <c r="J25" s="9" t="n">
        <f aca="true">IF(D25="","",TODAY()-D25)</f>
        <v>261</v>
      </c>
      <c r="K25" s="9" t="n">
        <f aca="false">IF(J25="","",ROUND(J25/30.44,1))</f>
        <v>8.6</v>
      </c>
      <c r="L25" s="10" t="str">
        <f aca="false">IF(A25="","",IF(OR(F25="Retired",F25="Terminated"),"-",IF(D25="","NO DATE",IF(J25&gt;=Settings!$B$2,"OVER AGE",IF(J25&gt;=Settings!$B$2-Settings!$B$3,"Replace soon",IF(J25&lt;Settings!$B$4,"Too young","OK"))))))</f>
        <v>OK</v>
      </c>
      <c r="M25" s="11" t="n">
        <f aca="false">IF(D25="","",D25+Settings!$B$2)</f>
        <v>46425</v>
      </c>
    </row>
    <row r="26" customFormat="false" ht="15" hidden="false" customHeight="true" outlineLevel="0" collapsed="false">
      <c r="A26" s="7" t="s">
        <v>97</v>
      </c>
      <c r="B26" s="7" t="s">
        <v>98</v>
      </c>
      <c r="C26" s="7" t="s">
        <v>41</v>
      </c>
      <c r="D26" s="8" t="n">
        <v>45889</v>
      </c>
      <c r="E26" s="7" t="s">
        <v>99</v>
      </c>
      <c r="F26" s="7" t="s">
        <v>38</v>
      </c>
      <c r="G26" s="7"/>
      <c r="H26" s="7"/>
      <c r="I26" s="7" t="s">
        <v>100</v>
      </c>
      <c r="J26" s="9" t="n">
        <f aca="true">IF(D26="","",TODAY()-D26)</f>
        <v>432</v>
      </c>
      <c r="K26" s="9" t="n">
        <f aca="false">IF(J26="","",ROUND(J26/30.44,1))</f>
        <v>14.2</v>
      </c>
      <c r="L26" s="10" t="str">
        <f aca="false">IF(A26="","",IF(OR(F26="Retired",F26="Terminated"),"-",IF(D26="","NO DATE",IF(J26&gt;=Settings!$B$2,"OVER AGE",IF(J26&gt;=Settings!$B$2-Settings!$B$3,"Replace soon",IF(J26&lt;Settings!$B$4,"Too young","OK"))))))</f>
        <v>OVER AGE</v>
      </c>
      <c r="M26" s="11" t="n">
        <f aca="false">IF(D26="","",D26+Settings!$B$2)</f>
        <v>46254</v>
      </c>
    </row>
    <row r="27" customFormat="false" ht="15" hidden="false" customHeight="true" outlineLevel="0" collapsed="false">
      <c r="A27" s="7" t="s">
        <v>101</v>
      </c>
      <c r="B27" s="7" t="s">
        <v>98</v>
      </c>
      <c r="C27" s="7" t="s">
        <v>36</v>
      </c>
      <c r="D27" s="8" t="n">
        <v>45874</v>
      </c>
      <c r="E27" s="7" t="s">
        <v>99</v>
      </c>
      <c r="F27" s="7" t="s">
        <v>38</v>
      </c>
      <c r="G27" s="7"/>
      <c r="H27" s="7"/>
      <c r="I27" s="7" t="s">
        <v>100</v>
      </c>
      <c r="J27" s="9" t="n">
        <f aca="true">IF(D27="","",TODAY()-D27)</f>
        <v>447</v>
      </c>
      <c r="K27" s="9" t="n">
        <f aca="false">IF(J27="","",ROUND(J27/30.44,1))</f>
        <v>14.7</v>
      </c>
      <c r="L27" s="10" t="str">
        <f aca="false">IF(A27="","",IF(OR(F27="Retired",F27="Terminated"),"-",IF(D27="","NO DATE",IF(J27&gt;=Settings!$B$2,"OVER AGE",IF(J27&gt;=Settings!$B$2-Settings!$B$3,"Replace soon",IF(J27&lt;Settings!$B$4,"Too young","OK"))))))</f>
        <v>OVER AGE</v>
      </c>
      <c r="M27" s="11" t="n">
        <f aca="false">IF(D27="","",D27+Settings!$B$2)</f>
        <v>46239</v>
      </c>
    </row>
    <row r="28" customFormat="false" ht="15" hidden="false" customHeight="true" outlineLevel="0" collapsed="false">
      <c r="A28" s="7" t="s">
        <v>102</v>
      </c>
      <c r="B28" s="7" t="s">
        <v>43</v>
      </c>
      <c r="C28" s="7" t="s">
        <v>41</v>
      </c>
      <c r="D28" s="8" t="n">
        <v>45943</v>
      </c>
      <c r="E28" s="7" t="s">
        <v>103</v>
      </c>
      <c r="F28" s="7" t="s">
        <v>38</v>
      </c>
      <c r="G28" s="7"/>
      <c r="H28" s="7"/>
      <c r="I28" s="7" t="s">
        <v>104</v>
      </c>
      <c r="J28" s="9" t="n">
        <f aca="true">IF(D28="","",TODAY()-D28)</f>
        <v>378</v>
      </c>
      <c r="K28" s="9" t="n">
        <f aca="false">IF(J28="","",ROUND(J28/30.44,1))</f>
        <v>12.4</v>
      </c>
      <c r="L28" s="10" t="str">
        <f aca="false">IF(A28="","",IF(OR(F28="Retired",F28="Terminated"),"-",IF(D28="","NO DATE",IF(J28&gt;=Settings!$B$2,"OVER AGE",IF(J28&gt;=Settings!$B$2-Settings!$B$3,"Replace soon",IF(J28&lt;Settings!$B$4,"Too young","OK"))))))</f>
        <v>OVER AGE</v>
      </c>
      <c r="M28" s="11" t="n">
        <f aca="false">IF(D28="","",D28+Settings!$B$2)</f>
        <v>46308</v>
      </c>
    </row>
    <row r="29" customFormat="false" ht="15" hidden="false" customHeight="true" outlineLevel="0" collapsed="false">
      <c r="A29" s="7" t="s">
        <v>105</v>
      </c>
      <c r="B29" s="7" t="s">
        <v>47</v>
      </c>
      <c r="C29" s="7" t="s">
        <v>36</v>
      </c>
      <c r="D29" s="8" t="n">
        <v>46022</v>
      </c>
      <c r="E29" s="7" t="s">
        <v>103</v>
      </c>
      <c r="F29" s="7" t="s">
        <v>38</v>
      </c>
      <c r="G29" s="7"/>
      <c r="H29" s="7"/>
      <c r="I29" s="7" t="s">
        <v>106</v>
      </c>
      <c r="J29" s="9" t="n">
        <f aca="true">IF(D29="","",TODAY()-D29)</f>
        <v>299</v>
      </c>
      <c r="K29" s="9" t="n">
        <f aca="false">IF(J29="","",ROUND(J29/30.44,1))</f>
        <v>9.8</v>
      </c>
      <c r="L29" s="10" t="str">
        <f aca="false">IF(A29="","",IF(OR(F29="Retired",F29="Terminated"),"-",IF(D29="","NO DATE",IF(J29&gt;=Settings!$B$2,"OVER AGE",IF(J29&gt;=Settings!$B$2-Settings!$B$3,"Replace soon",IF(J29&lt;Settings!$B$4,"Too young","OK"))))))</f>
        <v>OK</v>
      </c>
      <c r="M29" s="11" t="n">
        <f aca="false">IF(D29="","",D29+Settings!$B$2)</f>
        <v>46387</v>
      </c>
      <c r="N29" s="1" t="s">
        <v>53</v>
      </c>
    </row>
    <row r="30" customFormat="false" ht="15" hidden="false" customHeight="true" outlineLevel="0" collapsed="false">
      <c r="A30" s="7" t="s">
        <v>107</v>
      </c>
      <c r="B30" s="7" t="s">
        <v>89</v>
      </c>
      <c r="C30" s="7" t="s">
        <v>41</v>
      </c>
      <c r="D30" s="8" t="n">
        <v>46229</v>
      </c>
      <c r="E30" s="7" t="s">
        <v>108</v>
      </c>
      <c r="F30" s="7" t="s">
        <v>38</v>
      </c>
      <c r="G30" s="7" t="s">
        <v>88</v>
      </c>
      <c r="H30" s="7" t="s">
        <v>92</v>
      </c>
      <c r="I30" s="7" t="s">
        <v>109</v>
      </c>
      <c r="J30" s="9" t="n">
        <f aca="true">IF(D30="","",TODAY()-D30)</f>
        <v>92</v>
      </c>
      <c r="K30" s="9" t="n">
        <f aca="false">IF(J30="","",ROUND(J30/30.44,1))</f>
        <v>3</v>
      </c>
      <c r="L30" s="10" t="str">
        <f aca="false">IF(A30="","",IF(OR(F30="Retired",F30="Terminated"),"-",IF(D30="","NO DATE",IF(J30&gt;=Settings!$B$2,"OVER AGE",IF(J30&gt;=Settings!$B$2-Settings!$B$3,"Replace soon",IF(J30&lt;Settings!$B$4,"Too young","OK"))))))</f>
        <v>OK</v>
      </c>
      <c r="M30" s="11" t="n">
        <f aca="false">IF(D30="","",D30+Settings!$B$2)</f>
        <v>46594</v>
      </c>
      <c r="N30" s="12" t="s">
        <v>53</v>
      </c>
    </row>
    <row r="31" customFormat="false" ht="15" hidden="false" customHeight="true" outlineLevel="0" collapsed="false">
      <c r="A31" s="7" t="s">
        <v>110</v>
      </c>
      <c r="B31" s="7" t="s">
        <v>89</v>
      </c>
      <c r="C31" s="7" t="s">
        <v>36</v>
      </c>
      <c r="D31" s="8" t="n">
        <v>46229</v>
      </c>
      <c r="E31" s="7" t="s">
        <v>108</v>
      </c>
      <c r="F31" s="7" t="s">
        <v>38</v>
      </c>
      <c r="G31" s="7" t="s">
        <v>88</v>
      </c>
      <c r="H31" s="7" t="s">
        <v>92</v>
      </c>
      <c r="I31" s="7" t="s">
        <v>109</v>
      </c>
      <c r="J31" s="9" t="n">
        <f aca="true">IF(D31="","",TODAY()-D31)</f>
        <v>92</v>
      </c>
      <c r="K31" s="9" t="n">
        <f aca="false">IF(J31="","",ROUND(J31/30.44,1))</f>
        <v>3</v>
      </c>
      <c r="L31" s="10" t="str">
        <f aca="false">IF(A31="","",IF(OR(F31="Retired",F31="Terminated"),"-",IF(D31="","NO DATE",IF(J31&gt;=Settings!$B$2,"OVER AGE",IF(J31&gt;=Settings!$B$2-Settings!$B$3,"Replace soon",IF(J31&lt;Settings!$B$4,"Too young","OK"))))))</f>
        <v>OK</v>
      </c>
      <c r="M31" s="11" t="n">
        <f aca="false">IF(D31="","",D31+Settings!$B$2)</f>
        <v>46594</v>
      </c>
      <c r="N31" s="12" t="s">
        <v>53</v>
      </c>
    </row>
  </sheetData>
  <autoFilter ref="A1:N1000"/>
  <conditionalFormatting sqref="L2:L1000">
    <cfRule type="expression" priority="2" aboveAverage="0" equalAverage="0" bottom="0" percent="0" rank="0" text="" dxfId="12">
      <formula>L2="OVER AGE"</formula>
    </cfRule>
    <cfRule type="expression" priority="3" aboveAverage="0" equalAverage="0" bottom="0" percent="0" rank="0" text="" dxfId="13">
      <formula>L2="Replace soon"</formula>
    </cfRule>
    <cfRule type="expression" priority="4" aboveAverage="0" equalAverage="0" bottom="0" percent="0" rank="0" text="" dxfId="14">
      <formula>L2="Too young"</formula>
    </cfRule>
    <cfRule type="expression" priority="5" aboveAverage="0" equalAverage="0" bottom="0" percent="0" rank="0" text="" dxfId="15">
      <formula>L2="NO DATE"</formula>
    </cfRule>
    <cfRule type="expression" priority="6" aboveAverage="0" equalAverage="0" bottom="0" percent="0" rank="0" text="" dxfId="16">
      <formula>L2="OK"</formula>
    </cfRule>
  </conditionalFormatting>
  <dataValidations count="4">
    <dataValidation allowBlank="true" errorStyle="stop" operator="between" showDropDown="false" showErrorMessage="true" showInputMessage="false" sqref="B2:B1000" type="list">
      <formula1>Lines!$A$2:$A$100</formula1>
      <formula2>0</formula2>
    </dataValidation>
    <dataValidation allowBlank="true" errorStyle="stop" operator="between" showDropDown="false" showErrorMessage="true" showInputMessage="false" sqref="C2:C1000" type="list">
      <formula1>"M,F"</formula1>
      <formula2>0</formula2>
    </dataValidation>
    <dataValidation allowBlank="true" errorStyle="stop" operator="between" showDropDown="false" showErrorMessage="true" showInputMessage="false" sqref="F2:F1000" type="list">
      <formula1>"Breeding,Reserve,Retired,Terminated"</formula1>
      <formula2>0</formula2>
    </dataValidation>
    <dataValidation allowBlank="true" error="Sire/Dam must be an ID in column A (add the parent as a Retired row if needed)" errorStyle="stop" operator="between" showDropDown="false" showErrorMessage="true" showInputMessage="false" sqref="G2:H1000" type="list">
      <formula1>$A$2:$A$1000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9"/>
    <col collapsed="false" customWidth="true" hidden="false" outlineLevel="0" max="5" min="4" style="1" width="10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30"/>
    <col collapsed="false" customWidth="true" hidden="false" outlineLevel="0" max="12" min="9" style="1" width="10"/>
    <col collapsed="false" customWidth="true" hidden="false" outlineLevel="0" max="13" min="13" style="1" width="13"/>
    <col collapsed="false" customWidth="true" hidden="false" outlineLevel="0" max="14" min="14" style="1" width="12"/>
  </cols>
  <sheetData>
    <row r="1" customFormat="false" ht="30" hidden="false" customHeight="true" outlineLevel="0" collapsed="false">
      <c r="A1" s="5" t="s">
        <v>111</v>
      </c>
      <c r="B1" s="5" t="s">
        <v>21</v>
      </c>
      <c r="C1" s="5" t="s">
        <v>112</v>
      </c>
      <c r="D1" s="5" t="s">
        <v>113</v>
      </c>
      <c r="E1" s="5" t="s">
        <v>114</v>
      </c>
      <c r="F1" s="5" t="s">
        <v>115</v>
      </c>
      <c r="G1" s="5" t="s">
        <v>25</v>
      </c>
      <c r="H1" s="5" t="s">
        <v>28</v>
      </c>
      <c r="I1" s="6" t="s">
        <v>116</v>
      </c>
      <c r="J1" s="6" t="s">
        <v>117</v>
      </c>
      <c r="K1" s="6" t="s">
        <v>118</v>
      </c>
      <c r="L1" s="6" t="s">
        <v>119</v>
      </c>
      <c r="M1" s="6" t="s">
        <v>31</v>
      </c>
      <c r="N1" s="6" t="s">
        <v>120</v>
      </c>
    </row>
    <row r="2" customFormat="false" ht="15" hidden="false" customHeight="true" outlineLevel="0" collapsed="false">
      <c r="A2" s="7" t="s">
        <v>37</v>
      </c>
      <c r="B2" s="7" t="s">
        <v>35</v>
      </c>
      <c r="C2" s="7" t="s">
        <v>40</v>
      </c>
      <c r="D2" s="7" t="s">
        <v>34</v>
      </c>
      <c r="E2" s="7"/>
      <c r="F2" s="8"/>
      <c r="G2" s="7" t="s">
        <v>121</v>
      </c>
      <c r="H2" s="7"/>
      <c r="I2" s="9" t="n">
        <f aca="true">IF(C2="","",IFERROR(TODAY()-INDEX(Breeders!$D$2:$D$1000,MATCH(C2,Breeders!$A$2:$A$1000,0)),"?"))</f>
        <v>292</v>
      </c>
      <c r="J2" s="9" t="n">
        <f aca="true">IF(D2="","",IFERROR(TODAY()-INDEX(Breeders!$D$2:$D$1000,MATCH(D2,Breeders!$A$2:$A$1000,0)),"?"))</f>
        <v>273</v>
      </c>
      <c r="K2" s="9" t="str">
        <f aca="true">IF(E2="","",IFERROR(TODAY()-INDEX(Breeders!$D$2:$D$1000,MATCH(E2,Breeders!$A$2:$A$1000,0)),"?"))</f>
        <v/>
      </c>
      <c r="L2" s="9" t="n">
        <f aca="false">IF(COUNT(I2:K2)=0,"",MAX(I2:K2))</f>
        <v>292</v>
      </c>
      <c r="M2" s="10" t="str">
        <f aca="false">IF(OR(A2="",G2&lt;&gt;"Active"),"",IF(L2="","NO DATE",IF(L2&gt;=Settings!$B$2,"OVER AGE",IF(L2&gt;=Settings!$B$2-Settings!$B$3,"Replace soon","OK"))))</f>
        <v>OK</v>
      </c>
      <c r="N2" s="11" t="n">
        <f aca="true">IF(OR(L2="",G2&lt;&gt;"Active"),"",TODAY()+Settings!$B$2-L2)</f>
        <v>46394</v>
      </c>
    </row>
    <row r="3" customFormat="false" ht="15" hidden="false" customHeight="true" outlineLevel="0" collapsed="false">
      <c r="A3" s="7" t="s">
        <v>44</v>
      </c>
      <c r="B3" s="7" t="s">
        <v>47</v>
      </c>
      <c r="C3" s="7" t="s">
        <v>46</v>
      </c>
      <c r="D3" s="7" t="s">
        <v>42</v>
      </c>
      <c r="E3" s="7"/>
      <c r="F3" s="8"/>
      <c r="G3" s="7" t="s">
        <v>121</v>
      </c>
      <c r="H3" s="7"/>
      <c r="I3" s="9" t="n">
        <f aca="true">IF(C3="","",IFERROR(TODAY()-INDEX(Breeders!$D$2:$D$1000,MATCH(C3,Breeders!$A$2:$A$1000,0)),"?"))</f>
        <v>180</v>
      </c>
      <c r="J3" s="9" t="n">
        <f aca="true">IF(D3="","",IFERROR(TODAY()-INDEX(Breeders!$D$2:$D$1000,MATCH(D3,Breeders!$A$2:$A$1000,0)),"?"))</f>
        <v>128</v>
      </c>
      <c r="K3" s="9" t="str">
        <f aca="true">IF(E3="","",IFERROR(TODAY()-INDEX(Breeders!$D$2:$D$1000,MATCH(E3,Breeders!$A$2:$A$1000,0)),"?"))</f>
        <v/>
      </c>
      <c r="L3" s="9" t="n">
        <f aca="false">IF(COUNT(I3:K3)=0,"",MAX(I3:K3))</f>
        <v>180</v>
      </c>
      <c r="M3" s="10" t="str">
        <f aca="false">IF(OR(A3="",G3&lt;&gt;"Active"),"",IF(L3="","NO DATE",IF(L3&gt;=Settings!$B$2,"OVER AGE",IF(L3&gt;=Settings!$B$2-Settings!$B$3,"Replace soon","OK"))))</f>
        <v>OK</v>
      </c>
      <c r="N3" s="11" t="n">
        <f aca="true">IF(OR(L3="",G3&lt;&gt;"Active"),"",TODAY()+Settings!$B$2-L3)</f>
        <v>46506</v>
      </c>
    </row>
    <row r="4" customFormat="false" ht="15" hidden="false" customHeight="true" outlineLevel="0" collapsed="false">
      <c r="A4" s="7" t="s">
        <v>49</v>
      </c>
      <c r="B4" s="7" t="s">
        <v>47</v>
      </c>
      <c r="C4" s="7" t="s">
        <v>48</v>
      </c>
      <c r="D4" s="7" t="s">
        <v>51</v>
      </c>
      <c r="E4" s="7"/>
      <c r="F4" s="8"/>
      <c r="G4" s="7" t="s">
        <v>121</v>
      </c>
      <c r="H4" s="7"/>
      <c r="I4" s="9" t="n">
        <f aca="true">IF(C4="","",IFERROR(TODAY()-INDEX(Breeders!$D$2:$D$1000,MATCH(C4,Breeders!$A$2:$A$1000,0)),"?"))</f>
        <v>378</v>
      </c>
      <c r="J4" s="9" t="n">
        <f aca="true">IF(D4="","",IFERROR(TODAY()-INDEX(Breeders!$D$2:$D$1000,MATCH(D4,Breeders!$A$2:$A$1000,0)),"?"))</f>
        <v>299</v>
      </c>
      <c r="K4" s="9" t="str">
        <f aca="true">IF(E4="","",IFERROR(TODAY()-INDEX(Breeders!$D$2:$D$1000,MATCH(E4,Breeders!$A$2:$A$1000,0)),"?"))</f>
        <v/>
      </c>
      <c r="L4" s="9" t="n">
        <f aca="false">IF(COUNT(I4:K4)=0,"",MAX(I4:K4))</f>
        <v>378</v>
      </c>
      <c r="M4" s="10" t="str">
        <f aca="false">IF(OR(A4="",G4&lt;&gt;"Active"),"",IF(L4="","NO DATE",IF(L4&gt;=Settings!$B$2,"OVER AGE",IF(L4&gt;=Settings!$B$2-Settings!$B$3,"Replace soon","OK"))))</f>
        <v>OVER AGE</v>
      </c>
      <c r="N4" s="11" t="n">
        <f aca="true">IF(OR(L4="",G4&lt;&gt;"Active"),"",TODAY()+Settings!$B$2-L4)</f>
        <v>46308</v>
      </c>
    </row>
    <row r="5" customFormat="false" ht="15" hidden="false" customHeight="true" outlineLevel="0" collapsed="false">
      <c r="A5" s="7" t="s">
        <v>55</v>
      </c>
      <c r="B5" s="7" t="s">
        <v>47</v>
      </c>
      <c r="C5" s="7" t="s">
        <v>54</v>
      </c>
      <c r="D5" s="7" t="s">
        <v>57</v>
      </c>
      <c r="E5" s="7" t="s">
        <v>59</v>
      </c>
      <c r="F5" s="8"/>
      <c r="G5" s="7" t="s">
        <v>121</v>
      </c>
      <c r="H5" s="7"/>
      <c r="I5" s="9" t="n">
        <f aca="true">IF(C5="","",IFERROR(TODAY()-INDEX(Breeders!$D$2:$D$1000,MATCH(C5,Breeders!$A$2:$A$1000,0)),"?"))</f>
        <v>378</v>
      </c>
      <c r="J5" s="9" t="n">
        <f aca="true">IF(D5="","",IFERROR(TODAY()-INDEX(Breeders!$D$2:$D$1000,MATCH(D5,Breeders!$A$2:$A$1000,0)),"?"))</f>
        <v>137</v>
      </c>
      <c r="K5" s="9" t="n">
        <f aca="true">IF(E5="","",IFERROR(TODAY()-INDEX(Breeders!$D$2:$D$1000,MATCH(E5,Breeders!$A$2:$A$1000,0)),"?"))</f>
        <v>137</v>
      </c>
      <c r="L5" s="9" t="n">
        <f aca="false">IF(COUNT(I5:K5)=0,"",MAX(I5:K5))</f>
        <v>378</v>
      </c>
      <c r="M5" s="10" t="str">
        <f aca="false">IF(OR(A5="",G5&lt;&gt;"Active"),"",IF(L5="","NO DATE",IF(L5&gt;=Settings!$B$2,"OVER AGE",IF(L5&gt;=Settings!$B$2-Settings!$B$3,"Replace soon","OK"))))</f>
        <v>OVER AGE</v>
      </c>
      <c r="N5" s="11" t="n">
        <f aca="true">IF(OR(L5="",G5&lt;&gt;"Active"),"",TODAY()+Settings!$B$2-L5)</f>
        <v>46308</v>
      </c>
    </row>
    <row r="6" customFormat="false" ht="15" hidden="false" customHeight="true" outlineLevel="0" collapsed="false">
      <c r="A6" s="7" t="s">
        <v>61</v>
      </c>
      <c r="B6" s="7" t="s">
        <v>47</v>
      </c>
      <c r="C6" s="7" t="s">
        <v>60</v>
      </c>
      <c r="D6" s="7" t="s">
        <v>64</v>
      </c>
      <c r="E6" s="7"/>
      <c r="F6" s="8"/>
      <c r="G6" s="7" t="s">
        <v>122</v>
      </c>
      <c r="H6" s="7" t="s">
        <v>123</v>
      </c>
      <c r="I6" s="9" t="n">
        <f aca="true">IF(C6="","",IFERROR(TODAY()-INDEX(Breeders!$D$2:$D$1000,MATCH(C6,Breeders!$A$2:$A$1000,0)),"?"))</f>
        <v>493</v>
      </c>
      <c r="J6" s="9" t="n">
        <f aca="true">IF(D6="","",IFERROR(TODAY()-INDEX(Breeders!$D$2:$D$1000,MATCH(D6,Breeders!$A$2:$A$1000,0)),"?"))</f>
        <v>615</v>
      </c>
      <c r="K6" s="9" t="str">
        <f aca="true">IF(E6="","",IFERROR(TODAY()-INDEX(Breeders!$D$2:$D$1000,MATCH(E6,Breeders!$A$2:$A$1000,0)),"?"))</f>
        <v/>
      </c>
      <c r="L6" s="9" t="n">
        <f aca="false">IF(COUNT(I6:K6)=0,"",MAX(I6:K6))</f>
        <v>615</v>
      </c>
      <c r="M6" s="10" t="str">
        <f aca="false">IF(OR(A6="",G6&lt;&gt;"Active"),"",IF(L6="","NO DATE",IF(L6&gt;=Settings!$B$2,"OVER AGE",IF(L6&gt;=Settings!$B$2-Settings!$B$3,"Replace soon","OK"))))</f>
        <v/>
      </c>
      <c r="N6" s="11" t="str">
        <f aca="true">IF(OR(L6="",G6&lt;&gt;"Active"),"",TODAY()+Settings!$B$2-L6)</f>
        <v/>
      </c>
    </row>
    <row r="7" customFormat="false" ht="15" hidden="false" customHeight="true" outlineLevel="0" collapsed="false">
      <c r="A7" s="7" t="s">
        <v>68</v>
      </c>
      <c r="B7" s="7" t="s">
        <v>67</v>
      </c>
      <c r="C7" s="7" t="s">
        <v>66</v>
      </c>
      <c r="D7" s="7" t="s">
        <v>70</v>
      </c>
      <c r="E7" s="7"/>
      <c r="F7" s="8"/>
      <c r="G7" s="7" t="s">
        <v>121</v>
      </c>
      <c r="H7" s="7"/>
      <c r="I7" s="9" t="n">
        <f aca="true">IF(C7="","",IFERROR(TODAY()-INDEX(Breeders!$D$2:$D$1000,MATCH(C7,Breeders!$A$2:$A$1000,0)),"?"))</f>
        <v>204</v>
      </c>
      <c r="J7" s="9" t="n">
        <f aca="true">IF(D7="","",IFERROR(TODAY()-INDEX(Breeders!$D$2:$D$1000,MATCH(D7,Breeders!$A$2:$A$1000,0)),"?"))</f>
        <v>287</v>
      </c>
      <c r="K7" s="9" t="str">
        <f aca="true">IF(E7="","",IFERROR(TODAY()-INDEX(Breeders!$D$2:$D$1000,MATCH(E7,Breeders!$A$2:$A$1000,0)),"?"))</f>
        <v/>
      </c>
      <c r="L7" s="9" t="n">
        <f aca="false">IF(COUNT(I7:K7)=0,"",MAX(I7:K7))</f>
        <v>287</v>
      </c>
      <c r="M7" s="10" t="str">
        <f aca="false">IF(OR(A7="",G7&lt;&gt;"Active"),"",IF(L7="","NO DATE",IF(L7&gt;=Settings!$B$2,"OVER AGE",IF(L7&gt;=Settings!$B$2-Settings!$B$3,"Replace soon","OK"))))</f>
        <v>OK</v>
      </c>
      <c r="N7" s="11" t="n">
        <f aca="true">IF(OR(L7="",G7&lt;&gt;"Active"),"",TODAY()+Settings!$B$2-L7)</f>
        <v>46399</v>
      </c>
    </row>
    <row r="8" customFormat="false" ht="15" hidden="false" customHeight="true" outlineLevel="0" collapsed="false">
      <c r="A8" s="7" t="s">
        <v>73</v>
      </c>
      <c r="B8" s="7" t="s">
        <v>72</v>
      </c>
      <c r="C8" s="7" t="s">
        <v>71</v>
      </c>
      <c r="D8" s="7" t="s">
        <v>75</v>
      </c>
      <c r="E8" s="7"/>
      <c r="F8" s="8"/>
      <c r="G8" s="7" t="s">
        <v>121</v>
      </c>
      <c r="H8" s="7" t="s">
        <v>124</v>
      </c>
      <c r="I8" s="9" t="n">
        <f aca="true">IF(C8="","",IFERROR(TODAY()-INDEX(Breeders!$D$2:$D$1000,MATCH(C8,Breeders!$A$2:$A$1000,0)),"?"))</f>
        <v>432</v>
      </c>
      <c r="J8" s="9" t="n">
        <f aca="true">IF(D8="","",IFERROR(TODAY()-INDEX(Breeders!$D$2:$D$1000,MATCH(D8,Breeders!$A$2:$A$1000,0)),"?"))</f>
        <v>377</v>
      </c>
      <c r="K8" s="9" t="str">
        <f aca="true">IF(E8="","",IFERROR(TODAY()-INDEX(Breeders!$D$2:$D$1000,MATCH(E8,Breeders!$A$2:$A$1000,0)),"?"))</f>
        <v/>
      </c>
      <c r="L8" s="9" t="n">
        <f aca="false">IF(COUNT(I8:K8)=0,"",MAX(I8:K8))</f>
        <v>432</v>
      </c>
      <c r="M8" s="10" t="str">
        <f aca="false">IF(OR(A8="",G8&lt;&gt;"Active"),"",IF(L8="","NO DATE",IF(L8&gt;=Settings!$B$2,"OVER AGE",IF(L8&gt;=Settings!$B$2-Settings!$B$3,"Replace soon","OK"))))</f>
        <v>OVER AGE</v>
      </c>
      <c r="N8" s="11" t="n">
        <f aca="true">IF(OR(L8="",G8&lt;&gt;"Active"),"",TODAY()+Settings!$B$2-L8)</f>
        <v>46254</v>
      </c>
    </row>
    <row r="9" customFormat="false" ht="15" hidden="false" customHeight="true" outlineLevel="0" collapsed="false">
      <c r="A9" s="7" t="s">
        <v>78</v>
      </c>
      <c r="B9" s="7" t="s">
        <v>77</v>
      </c>
      <c r="C9" s="7" t="s">
        <v>76</v>
      </c>
      <c r="D9" s="7" t="s">
        <v>80</v>
      </c>
      <c r="E9" s="7"/>
      <c r="F9" s="8"/>
      <c r="G9" s="7" t="s">
        <v>121</v>
      </c>
      <c r="H9" s="7"/>
      <c r="I9" s="9" t="n">
        <f aca="true">IF(C9="","",IFERROR(TODAY()-INDEX(Breeders!$D$2:$D$1000,MATCH(C9,Breeders!$A$2:$A$1000,0)),"?"))</f>
        <v>154</v>
      </c>
      <c r="J9" s="9" t="n">
        <f aca="true">IF(D9="","",IFERROR(TODAY()-INDEX(Breeders!$D$2:$D$1000,MATCH(D9,Breeders!$A$2:$A$1000,0)),"?"))</f>
        <v>132</v>
      </c>
      <c r="K9" s="9" t="str">
        <f aca="true">IF(E9="","",IFERROR(TODAY()-INDEX(Breeders!$D$2:$D$1000,MATCH(E9,Breeders!$A$2:$A$1000,0)),"?"))</f>
        <v/>
      </c>
      <c r="L9" s="9" t="n">
        <f aca="false">IF(COUNT(I9:K9)=0,"",MAX(I9:K9))</f>
        <v>154</v>
      </c>
      <c r="M9" s="10" t="str">
        <f aca="false">IF(OR(A9="",G9&lt;&gt;"Active"),"",IF(L9="","NO DATE",IF(L9&gt;=Settings!$B$2,"OVER AGE",IF(L9&gt;=Settings!$B$2-Settings!$B$3,"Replace soon","OK"))))</f>
        <v>OK</v>
      </c>
      <c r="N9" s="11" t="n">
        <f aca="true">IF(OR(L9="",G9&lt;&gt;"Active"),"",TODAY()+Settings!$B$2-L9)</f>
        <v>46532</v>
      </c>
    </row>
    <row r="10" customFormat="false" ht="15" hidden="false" customHeight="true" outlineLevel="0" collapsed="false">
      <c r="A10" s="7" t="s">
        <v>83</v>
      </c>
      <c r="B10" s="7" t="s">
        <v>82</v>
      </c>
      <c r="C10" s="7" t="s">
        <v>81</v>
      </c>
      <c r="D10" s="7" t="s">
        <v>85</v>
      </c>
      <c r="E10" s="7" t="s">
        <v>87</v>
      </c>
      <c r="F10" s="8"/>
      <c r="G10" s="7" t="s">
        <v>121</v>
      </c>
      <c r="H10" s="7" t="s">
        <v>125</v>
      </c>
      <c r="I10" s="9" t="n">
        <f aca="true">IF(C10="","",IFERROR(TODAY()-INDEX(Breeders!$D$2:$D$1000,MATCH(C10,Breeders!$A$2:$A$1000,0)),"?"))</f>
        <v>325</v>
      </c>
      <c r="J10" s="9" t="n">
        <f aca="true">IF(D10="","",IFERROR(TODAY()-INDEX(Breeders!$D$2:$D$1000,MATCH(D10,Breeders!$A$2:$A$1000,0)),"?"))</f>
        <v>342</v>
      </c>
      <c r="K10" s="9" t="n">
        <f aca="true">IF(E10="","",IFERROR(TODAY()-INDEX(Breeders!$D$2:$D$1000,MATCH(E10,Breeders!$A$2:$A$1000,0)),"?"))</f>
        <v>342</v>
      </c>
      <c r="L10" s="9" t="n">
        <f aca="false">IF(COUNT(I10:K10)=0,"",MAX(I10:K10))</f>
        <v>342</v>
      </c>
      <c r="M10" s="10" t="str">
        <f aca="false">IF(OR(A10="",G10&lt;&gt;"Active"),"",IF(L10="","NO DATE",IF(L10&gt;=Settings!$B$2,"OVER AGE",IF(L10&gt;=Settings!$B$2-Settings!$B$3,"Replace soon","OK"))))</f>
        <v>Replace soon</v>
      </c>
      <c r="N10" s="11" t="n">
        <f aca="true">IF(OR(L10="",G10&lt;&gt;"Active"),"",TODAY()+Settings!$B$2-L10)</f>
        <v>46344</v>
      </c>
    </row>
    <row r="11" customFormat="false" ht="15" hidden="false" customHeight="true" outlineLevel="0" collapsed="false">
      <c r="A11" s="7" t="s">
        <v>90</v>
      </c>
      <c r="B11" s="7" t="s">
        <v>89</v>
      </c>
      <c r="C11" s="7" t="s">
        <v>88</v>
      </c>
      <c r="D11" s="7" t="s">
        <v>92</v>
      </c>
      <c r="E11" s="7"/>
      <c r="F11" s="8"/>
      <c r="G11" s="7" t="s">
        <v>121</v>
      </c>
      <c r="H11" s="7"/>
      <c r="I11" s="9" t="n">
        <f aca="true">IF(C11="","",IFERROR(TODAY()-INDEX(Breeders!$D$2:$D$1000,MATCH(C11,Breeders!$A$2:$A$1000,0)),"?"))</f>
        <v>362</v>
      </c>
      <c r="J11" s="9" t="n">
        <f aca="true">IF(D11="","",IFERROR(TODAY()-INDEX(Breeders!$D$2:$D$1000,MATCH(D11,Breeders!$A$2:$A$1000,0)),"?"))</f>
        <v>299</v>
      </c>
      <c r="K11" s="9" t="str">
        <f aca="true">IF(E11="","",IFERROR(TODAY()-INDEX(Breeders!$D$2:$D$1000,MATCH(E11,Breeders!$A$2:$A$1000,0)),"?"))</f>
        <v/>
      </c>
      <c r="L11" s="9" t="n">
        <f aca="false">IF(COUNT(I11:K11)=0,"",MAX(I11:K11))</f>
        <v>362</v>
      </c>
      <c r="M11" s="10" t="str">
        <f aca="false">IF(OR(A11="",G11&lt;&gt;"Active"),"",IF(L11="","NO DATE",IF(L11&gt;=Settings!$B$2,"OVER AGE",IF(L11&gt;=Settings!$B$2-Settings!$B$3,"Replace soon","OK"))))</f>
        <v>Replace soon</v>
      </c>
      <c r="N11" s="11" t="n">
        <f aca="true">IF(OR(L11="",G11&lt;&gt;"Active"),"",TODAY()+Settings!$B$2-L11)</f>
        <v>46324</v>
      </c>
    </row>
    <row r="12" customFormat="false" ht="15" hidden="false" customHeight="true" outlineLevel="0" collapsed="false">
      <c r="A12" s="7" t="s">
        <v>94</v>
      </c>
      <c r="B12" s="7" t="s">
        <v>35</v>
      </c>
      <c r="C12" s="7" t="s">
        <v>93</v>
      </c>
      <c r="D12" s="7" t="s">
        <v>96</v>
      </c>
      <c r="E12" s="7"/>
      <c r="F12" s="8"/>
      <c r="G12" s="7" t="s">
        <v>121</v>
      </c>
      <c r="H12" s="7" t="s">
        <v>125</v>
      </c>
      <c r="I12" s="9" t="n">
        <f aca="true">IF(C12="","",IFERROR(TODAY()-INDEX(Breeders!$D$2:$D$1000,MATCH(C12,Breeders!$A$2:$A$1000,0)),"?"))</f>
        <v>315</v>
      </c>
      <c r="J12" s="9" t="n">
        <f aca="true">IF(D12="","",IFERROR(TODAY()-INDEX(Breeders!$D$2:$D$1000,MATCH(D12,Breeders!$A$2:$A$1000,0)),"?"))</f>
        <v>261</v>
      </c>
      <c r="K12" s="9" t="str">
        <f aca="true">IF(E12="","",IFERROR(TODAY()-INDEX(Breeders!$D$2:$D$1000,MATCH(E12,Breeders!$A$2:$A$1000,0)),"?"))</f>
        <v/>
      </c>
      <c r="L12" s="9" t="n">
        <f aca="false">IF(COUNT(I12:K12)=0,"",MAX(I12:K12))</f>
        <v>315</v>
      </c>
      <c r="M12" s="10" t="str">
        <f aca="false">IF(OR(A12="",G12&lt;&gt;"Active"),"",IF(L12="","NO DATE",IF(L12&gt;=Settings!$B$2,"OVER AGE",IF(L12&gt;=Settings!$B$2-Settings!$B$3,"Replace soon","OK"))))</f>
        <v>Replace soon</v>
      </c>
      <c r="N12" s="11" t="n">
        <f aca="true">IF(OR(L12="",G12&lt;&gt;"Active"),"",TODAY()+Settings!$B$2-L12)</f>
        <v>46371</v>
      </c>
    </row>
    <row r="13" customFormat="false" ht="15" hidden="false" customHeight="true" outlineLevel="0" collapsed="false">
      <c r="A13" s="7" t="s">
        <v>99</v>
      </c>
      <c r="B13" s="7" t="s">
        <v>98</v>
      </c>
      <c r="C13" s="7" t="s">
        <v>97</v>
      </c>
      <c r="D13" s="7" t="s">
        <v>101</v>
      </c>
      <c r="E13" s="7"/>
      <c r="F13" s="8"/>
      <c r="G13" s="7" t="s">
        <v>121</v>
      </c>
      <c r="H13" s="7"/>
      <c r="I13" s="9" t="n">
        <f aca="true">IF(C13="","",IFERROR(TODAY()-INDEX(Breeders!$D$2:$D$1000,MATCH(C13,Breeders!$A$2:$A$1000,0)),"?"))</f>
        <v>432</v>
      </c>
      <c r="J13" s="9" t="n">
        <f aca="true">IF(D13="","",IFERROR(TODAY()-INDEX(Breeders!$D$2:$D$1000,MATCH(D13,Breeders!$A$2:$A$1000,0)),"?"))</f>
        <v>447</v>
      </c>
      <c r="K13" s="9" t="str">
        <f aca="true">IF(E13="","",IFERROR(TODAY()-INDEX(Breeders!$D$2:$D$1000,MATCH(E13,Breeders!$A$2:$A$1000,0)),"?"))</f>
        <v/>
      </c>
      <c r="L13" s="9" t="n">
        <f aca="false">IF(COUNT(I13:K13)=0,"",MAX(I13:K13))</f>
        <v>447</v>
      </c>
      <c r="M13" s="10" t="str">
        <f aca="false">IF(OR(A13="",G13&lt;&gt;"Active"),"",IF(L13="","NO DATE",IF(L13&gt;=Settings!$B$2,"OVER AGE",IF(L13&gt;=Settings!$B$2-Settings!$B$3,"Replace soon","OK"))))</f>
        <v>OVER AGE</v>
      </c>
      <c r="N13" s="11" t="n">
        <f aca="true">IF(OR(L13="",G13&lt;&gt;"Active"),"",TODAY()+Settings!$B$2-L13)</f>
        <v>46239</v>
      </c>
    </row>
    <row r="14" customFormat="false" ht="15" hidden="false" customHeight="true" outlineLevel="0" collapsed="false">
      <c r="A14" s="7" t="s">
        <v>103</v>
      </c>
      <c r="B14" s="7" t="s">
        <v>47</v>
      </c>
      <c r="C14" s="7" t="s">
        <v>102</v>
      </c>
      <c r="D14" s="7" t="s">
        <v>105</v>
      </c>
      <c r="E14" s="7"/>
      <c r="F14" s="8"/>
      <c r="G14" s="7" t="s">
        <v>121</v>
      </c>
      <c r="H14" s="7"/>
      <c r="I14" s="9" t="n">
        <f aca="true">IF(C14="","",IFERROR(TODAY()-INDEX(Breeders!$D$2:$D$1000,MATCH(C14,Breeders!$A$2:$A$1000,0)),"?"))</f>
        <v>378</v>
      </c>
      <c r="J14" s="9" t="n">
        <f aca="true">IF(D14="","",IFERROR(TODAY()-INDEX(Breeders!$D$2:$D$1000,MATCH(D14,Breeders!$A$2:$A$1000,0)),"?"))</f>
        <v>299</v>
      </c>
      <c r="K14" s="9" t="str">
        <f aca="true">IF(E14="","",IFERROR(TODAY()-INDEX(Breeders!$D$2:$D$1000,MATCH(E14,Breeders!$A$2:$A$1000,0)),"?"))</f>
        <v/>
      </c>
      <c r="L14" s="9" t="n">
        <f aca="false">IF(COUNT(I14:K14)=0,"",MAX(I14:K14))</f>
        <v>378</v>
      </c>
      <c r="M14" s="10" t="str">
        <f aca="false">IF(OR(A14="",G14&lt;&gt;"Active"),"",IF(L14="","NO DATE",IF(L14&gt;=Settings!$B$2,"OVER AGE",IF(L14&gt;=Settings!$B$2-Settings!$B$3,"Replace soon","OK"))))</f>
        <v>OVER AGE</v>
      </c>
      <c r="N14" s="11" t="n">
        <f aca="true">IF(OR(L14="",G14&lt;&gt;"Active"),"",TODAY()+Settings!$B$2-L14)</f>
        <v>46308</v>
      </c>
    </row>
    <row r="15" customFormat="false" ht="15" hidden="false" customHeight="true" outlineLevel="0" collapsed="false">
      <c r="A15" s="7" t="s">
        <v>108</v>
      </c>
      <c r="B15" s="7" t="s">
        <v>89</v>
      </c>
      <c r="C15" s="7" t="s">
        <v>107</v>
      </c>
      <c r="D15" s="7" t="s">
        <v>110</v>
      </c>
      <c r="E15" s="7"/>
      <c r="F15" s="8"/>
      <c r="G15" s="7" t="s">
        <v>121</v>
      </c>
      <c r="H15" s="7"/>
      <c r="I15" s="9" t="n">
        <f aca="true">IF(C15="","",IFERROR(TODAY()-INDEX(Breeders!$D$2:$D$1000,MATCH(C15,Breeders!$A$2:$A$1000,0)),"?"))</f>
        <v>92</v>
      </c>
      <c r="J15" s="9" t="n">
        <f aca="true">IF(D15="","",IFERROR(TODAY()-INDEX(Breeders!$D$2:$D$1000,MATCH(D15,Breeders!$A$2:$A$1000,0)),"?"))</f>
        <v>92</v>
      </c>
      <c r="K15" s="9" t="str">
        <f aca="true">IF(E15="","",IFERROR(TODAY()-INDEX(Breeders!$D$2:$D$1000,MATCH(E15,Breeders!$A$2:$A$1000,0)),"?"))</f>
        <v/>
      </c>
      <c r="L15" s="9" t="n">
        <f aca="false">IF(COUNT(I15:K15)=0,"",MAX(I15:K15))</f>
        <v>92</v>
      </c>
      <c r="M15" s="10" t="str">
        <f aca="false">IF(OR(A15="",G15&lt;&gt;"Active"),"",IF(L15="","NO DATE",IF(L15&gt;=Settings!$B$2,"OVER AGE",IF(L15&gt;=Settings!$B$2-Settings!$B$3,"Replace soon","OK"))))</f>
        <v>OK</v>
      </c>
      <c r="N15" s="11" t="n">
        <f aca="true">IF(OR(L15="",G15&lt;&gt;"Active"),"",TODAY()+Settings!$B$2-L15)</f>
        <v>46594</v>
      </c>
    </row>
  </sheetData>
  <autoFilter ref="A1:N1000"/>
  <conditionalFormatting sqref="M2:M1000">
    <cfRule type="expression" priority="2" aboveAverage="0" equalAverage="0" bottom="0" percent="0" rank="0" text="" dxfId="12">
      <formula>M2="OVER AGE"</formula>
    </cfRule>
    <cfRule type="expression" priority="3" aboveAverage="0" equalAverage="0" bottom="0" percent="0" rank="0" text="" dxfId="13">
      <formula>M2="Replace soon"</formula>
    </cfRule>
    <cfRule type="expression" priority="4" aboveAverage="0" equalAverage="0" bottom="0" percent="0" rank="0" text="" dxfId="14">
      <formula>M2="Too young"</formula>
    </cfRule>
    <cfRule type="expression" priority="5" aboveAverage="0" equalAverage="0" bottom="0" percent="0" rank="0" text="" dxfId="15">
      <formula>M2="NO DATE"</formula>
    </cfRule>
    <cfRule type="expression" priority="6" aboveAverage="0" equalAverage="0" bottom="0" percent="0" rank="0" text="" dxfId="16">
      <formula>M2="OK"</formula>
    </cfRule>
  </conditionalFormatting>
  <dataValidations count="3">
    <dataValidation allowBlank="true" errorStyle="stop" operator="between" showDropDown="false" showErrorMessage="true" showInputMessage="false" sqref="B2:B1000" type="list">
      <formula1>Lines!$A$2:$A$100</formula1>
      <formula2>0</formula2>
    </dataValidation>
    <dataValidation allowBlank="true" errorStyle="stop" operator="between" showDropDown="false" showErrorMessage="true" showInputMessage="false" sqref="G2:G1000" type="list">
      <formula1>"Active,Ended"</formula1>
      <formula2>0</formula2>
    </dataValidation>
    <dataValidation allowBlank="true" error="Use an ID from the Breeders sheet" errorStyle="stop" operator="between" showDropDown="false" showErrorMessage="true" showInputMessage="false" sqref="C2:E1000" type="list">
      <formula1>Breeders!$A$2:$A$1000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N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4" min="4" style="1" width="6"/>
    <col collapsed="false" customWidth="true" hidden="false" outlineLevel="0" max="5" min="5" style="1" width="7"/>
    <col collapsed="false" customWidth="true" hidden="false" outlineLevel="0" max="6" min="6" style="1" width="12"/>
    <col collapsed="false" customWidth="true" hidden="false" outlineLevel="0" max="8" min="7" style="1" width="10"/>
    <col collapsed="false" customWidth="true" hidden="false" outlineLevel="0" max="9" min="9" style="1" width="12"/>
    <col collapsed="false" customWidth="true" hidden="false" outlineLevel="0" max="11" min="10" style="1" width="9"/>
    <col collapsed="false" customWidth="true" hidden="false" outlineLevel="0" max="12" min="12" style="1" width="40"/>
    <col collapsed="false" customWidth="true" hidden="false" outlineLevel="0" max="13" min="13" style="1" width="12"/>
    <col collapsed="false" customWidth="true" hidden="false" outlineLevel="0" max="14" min="14" style="1" width="34"/>
  </cols>
  <sheetData>
    <row r="1" customFormat="false" ht="30" hidden="false" customHeight="true" outlineLevel="0" collapsed="false">
      <c r="A1" s="5" t="s">
        <v>24</v>
      </c>
      <c r="B1" s="5" t="s">
        <v>21</v>
      </c>
      <c r="C1" s="5" t="s">
        <v>126</v>
      </c>
      <c r="D1" s="5" t="s">
        <v>22</v>
      </c>
      <c r="E1" s="5" t="s">
        <v>127</v>
      </c>
      <c r="F1" s="5" t="s">
        <v>23</v>
      </c>
      <c r="G1" s="6" t="s">
        <v>29</v>
      </c>
      <c r="H1" s="6" t="s">
        <v>30</v>
      </c>
      <c r="I1" s="6" t="s">
        <v>128</v>
      </c>
      <c r="J1" s="5" t="s">
        <v>26</v>
      </c>
      <c r="K1" s="5" t="s">
        <v>27</v>
      </c>
      <c r="L1" s="5" t="s">
        <v>129</v>
      </c>
      <c r="M1" s="5" t="s">
        <v>130</v>
      </c>
      <c r="N1" s="5" t="s">
        <v>33</v>
      </c>
    </row>
    <row r="2" customFormat="false" ht="15" hidden="false" customHeight="true" outlineLevel="0" collapsed="false">
      <c r="A2" s="7" t="s">
        <v>131</v>
      </c>
      <c r="B2" s="7" t="s">
        <v>47</v>
      </c>
      <c r="C2" s="7" t="s">
        <v>132</v>
      </c>
      <c r="D2" s="7" t="s">
        <v>36</v>
      </c>
      <c r="E2" s="7" t="n">
        <v>2</v>
      </c>
      <c r="F2" s="8" t="n">
        <v>46269</v>
      </c>
      <c r="G2" s="9" t="n">
        <f aca="true">IF(F2="","",TODAY()-F2)</f>
        <v>52</v>
      </c>
      <c r="H2" s="9" t="n">
        <f aca="false">IF(G2="","",ROUND(G2/30.44,1))</f>
        <v>1.7</v>
      </c>
      <c r="I2" s="10" t="str">
        <f aca="false">IF(OR(F2="",D2="TP",D2=""),"",IF(G2&lt;Settings!$B$4,"Too young",IF(G2&lt;=Settings!$B$5,"Yes","Too old")))</f>
        <v>Yes</v>
      </c>
      <c r="J2" s="13" t="s">
        <v>48</v>
      </c>
      <c r="K2" s="13" t="s">
        <v>51</v>
      </c>
      <c r="L2" s="7"/>
      <c r="M2" s="7"/>
    </row>
    <row r="3" customFormat="false" ht="15" hidden="false" customHeight="true" outlineLevel="0" collapsed="false">
      <c r="A3" s="7" t="s">
        <v>133</v>
      </c>
      <c r="B3" s="7" t="s">
        <v>47</v>
      </c>
      <c r="C3" s="7" t="s">
        <v>132</v>
      </c>
      <c r="D3" s="7" t="s">
        <v>41</v>
      </c>
      <c r="E3" s="7" t="n">
        <v>2</v>
      </c>
      <c r="F3" s="8" t="n">
        <v>46269</v>
      </c>
      <c r="G3" s="9" t="n">
        <f aca="true">IF(F3="","",TODAY()-F3)</f>
        <v>52</v>
      </c>
      <c r="H3" s="9" t="n">
        <f aca="false">IF(G3="","",ROUND(G3/30.44,1))</f>
        <v>1.7</v>
      </c>
      <c r="I3" s="10" t="str">
        <f aca="false">IF(OR(F3="",D3="TP",D3=""),"",IF(G3&lt;Settings!$B$4,"Too young",IF(G3&lt;=Settings!$B$5,"Yes","Too old")))</f>
        <v>Yes</v>
      </c>
      <c r="J3" s="13" t="s">
        <v>48</v>
      </c>
      <c r="K3" s="13" t="s">
        <v>51</v>
      </c>
      <c r="L3" s="7"/>
      <c r="M3" s="7"/>
    </row>
    <row r="4" customFormat="false" ht="15" hidden="false" customHeight="true" outlineLevel="0" collapsed="false">
      <c r="A4" s="7" t="s">
        <v>134</v>
      </c>
      <c r="B4" s="7"/>
      <c r="C4" s="7"/>
      <c r="D4" s="7"/>
      <c r="E4" s="7"/>
      <c r="F4" s="8"/>
      <c r="G4" s="9" t="str">
        <f aca="true">IF(F4="","",TODAY()-F4)</f>
        <v/>
      </c>
      <c r="H4" s="9" t="str">
        <f aca="false">IF(G4="","",ROUND(G4/30.44,1))</f>
        <v/>
      </c>
      <c r="I4" s="10" t="str">
        <f aca="false">IF(OR(F4="",D4="TP",D4=""),"",IF(G4&lt;Settings!$B$4,"Too young",IF(G4&lt;=Settings!$B$5,"Yes","Too old")))</f>
        <v/>
      </c>
      <c r="J4" s="7"/>
      <c r="K4" s="7"/>
      <c r="L4" s="7"/>
      <c r="M4" s="7"/>
    </row>
    <row r="5" customFormat="false" ht="15" hidden="false" customHeight="true" outlineLevel="0" collapsed="false">
      <c r="A5" s="7" t="s">
        <v>135</v>
      </c>
      <c r="B5" s="7"/>
      <c r="C5" s="7"/>
      <c r="D5" s="7"/>
      <c r="E5" s="7"/>
      <c r="F5" s="8"/>
      <c r="G5" s="9" t="str">
        <f aca="true">IF(F5="","",TODAY()-F5)</f>
        <v/>
      </c>
      <c r="H5" s="9" t="str">
        <f aca="false">IF(G5="","",ROUND(G5/30.44,1))</f>
        <v/>
      </c>
      <c r="I5" s="10" t="str">
        <f aca="false">IF(OR(F5="",D5="TP",D5=""),"",IF(G5&lt;Settings!$B$4,"Too young",IF(G5&lt;=Settings!$B$5,"Yes","Too old")))</f>
        <v/>
      </c>
      <c r="J5" s="7"/>
      <c r="K5" s="7"/>
      <c r="L5" s="7"/>
      <c r="M5" s="7"/>
    </row>
    <row r="6" customFormat="false" ht="15" hidden="false" customHeight="true" outlineLevel="0" collapsed="false">
      <c r="A6" s="7" t="s">
        <v>37</v>
      </c>
      <c r="B6" s="7" t="s">
        <v>35</v>
      </c>
      <c r="C6" s="7" t="s">
        <v>136</v>
      </c>
      <c r="D6" s="7" t="s">
        <v>137</v>
      </c>
      <c r="E6" s="7" t="n">
        <v>2</v>
      </c>
      <c r="F6" s="8"/>
      <c r="G6" s="9" t="str">
        <f aca="true">IF(F6="","",TODAY()-F6)</f>
        <v/>
      </c>
      <c r="H6" s="9" t="str">
        <f aca="false">IF(G6="","",ROUND(G6/30.44,1))</f>
        <v/>
      </c>
      <c r="I6" s="10" t="str">
        <f aca="false">IF(OR(F6="",D6="TP",D6=""),"",IF(G6&lt;Settings!$B$4,"Too young",IF(G6&lt;=Settings!$B$5,"Yes","Too old")))</f>
        <v/>
      </c>
      <c r="J6" s="7"/>
      <c r="K6" s="7"/>
      <c r="L6" s="7" t="s">
        <v>138</v>
      </c>
      <c r="M6" s="7"/>
    </row>
    <row r="7" customFormat="false" ht="15" hidden="false" customHeight="true" outlineLevel="0" collapsed="false">
      <c r="A7" s="7" t="s">
        <v>139</v>
      </c>
      <c r="B7" s="7" t="s">
        <v>82</v>
      </c>
      <c r="C7" s="7" t="s">
        <v>140</v>
      </c>
      <c r="D7" s="7" t="s">
        <v>36</v>
      </c>
      <c r="E7" s="7" t="n">
        <v>3</v>
      </c>
      <c r="F7" s="8" t="n">
        <v>46269</v>
      </c>
      <c r="G7" s="9" t="n">
        <f aca="true">IF(F7="","",TODAY()-F7)</f>
        <v>52</v>
      </c>
      <c r="H7" s="9" t="n">
        <f aca="false">IF(G7="","",ROUND(G7/30.44,1))</f>
        <v>1.7</v>
      </c>
      <c r="I7" s="10" t="str">
        <f aca="false">IF(OR(F7="",D7="TP",D7=""),"",IF(G7&lt;Settings!$B$4,"Too young",IF(G7&lt;=Settings!$B$5,"Yes","Too old")))</f>
        <v>Yes</v>
      </c>
      <c r="J7" s="13" t="s">
        <v>81</v>
      </c>
      <c r="K7" s="13"/>
      <c r="L7" s="7"/>
      <c r="M7" s="7"/>
    </row>
    <row r="8" customFormat="false" ht="15" hidden="false" customHeight="true" outlineLevel="0" collapsed="false">
      <c r="A8" s="7" t="s">
        <v>141</v>
      </c>
      <c r="B8" s="7"/>
      <c r="C8" s="7"/>
      <c r="D8" s="7"/>
      <c r="E8" s="7"/>
      <c r="F8" s="8"/>
      <c r="G8" s="9" t="str">
        <f aca="true">IF(F8="","",TODAY()-F8)</f>
        <v/>
      </c>
      <c r="H8" s="9" t="str">
        <f aca="false">IF(G8="","",ROUND(G8/30.44,1))</f>
        <v/>
      </c>
      <c r="I8" s="10" t="str">
        <f aca="false">IF(OR(F8="",D8="TP",D8=""),"",IF(G8&lt;Settings!$B$4,"Too young",IF(G8&lt;=Settings!$B$5,"Yes","Too old")))</f>
        <v/>
      </c>
      <c r="J8" s="7"/>
      <c r="K8" s="7"/>
      <c r="L8" s="7"/>
      <c r="M8" s="7"/>
    </row>
    <row r="9" customFormat="false" ht="15" hidden="false" customHeight="true" outlineLevel="0" collapsed="false">
      <c r="A9" s="7" t="s">
        <v>44</v>
      </c>
      <c r="B9" s="7" t="s">
        <v>47</v>
      </c>
      <c r="C9" s="7" t="s">
        <v>142</v>
      </c>
      <c r="D9" s="7" t="s">
        <v>137</v>
      </c>
      <c r="E9" s="7" t="n">
        <v>2</v>
      </c>
      <c r="F9" s="8"/>
      <c r="G9" s="9" t="str">
        <f aca="true">IF(F9="","",TODAY()-F9)</f>
        <v/>
      </c>
      <c r="H9" s="9" t="str">
        <f aca="false">IF(G9="","",ROUND(G9/30.44,1))</f>
        <v/>
      </c>
      <c r="I9" s="10" t="str">
        <f aca="false">IF(OR(F9="",D9="TP",D9=""),"",IF(G9&lt;Settings!$B$4,"Too young",IF(G9&lt;=Settings!$B$5,"Yes","Too old")))</f>
        <v/>
      </c>
      <c r="J9" s="7"/>
      <c r="K9" s="7"/>
      <c r="L9" s="7" t="s">
        <v>138</v>
      </c>
      <c r="M9" s="7"/>
    </row>
    <row r="10" customFormat="false" ht="15" hidden="false" customHeight="true" outlineLevel="0" collapsed="false">
      <c r="A10" s="7" t="s">
        <v>49</v>
      </c>
      <c r="B10" s="7" t="s">
        <v>47</v>
      </c>
      <c r="C10" s="7" t="s">
        <v>142</v>
      </c>
      <c r="D10" s="7" t="s">
        <v>137</v>
      </c>
      <c r="E10" s="7" t="n">
        <v>2</v>
      </c>
      <c r="F10" s="8"/>
      <c r="G10" s="9" t="str">
        <f aca="true">IF(F10="","",TODAY()-F10)</f>
        <v/>
      </c>
      <c r="H10" s="9" t="str">
        <f aca="false">IF(G10="","",ROUND(G10/30.44,1))</f>
        <v/>
      </c>
      <c r="I10" s="10" t="str">
        <f aca="false">IF(OR(F10="",D10="TP",D10=""),"",IF(G10&lt;Settings!$B$4,"Too young",IF(G10&lt;=Settings!$B$5,"Yes","Too old")))</f>
        <v/>
      </c>
      <c r="J10" s="7"/>
      <c r="K10" s="7"/>
      <c r="L10" s="7" t="s">
        <v>138</v>
      </c>
      <c r="M10" s="7"/>
    </row>
    <row r="11" customFormat="false" ht="15" hidden="false" customHeight="true" outlineLevel="0" collapsed="false">
      <c r="A11" s="7" t="s">
        <v>143</v>
      </c>
      <c r="B11" s="7" t="s">
        <v>35</v>
      </c>
      <c r="C11" s="7" t="s">
        <v>136</v>
      </c>
      <c r="D11" s="7" t="s">
        <v>36</v>
      </c>
      <c r="E11" s="7" t="n">
        <v>2</v>
      </c>
      <c r="F11" s="8" t="n">
        <v>46272</v>
      </c>
      <c r="G11" s="9" t="n">
        <f aca="true">IF(F11="","",TODAY()-F11)</f>
        <v>49</v>
      </c>
      <c r="H11" s="9" t="n">
        <f aca="false">IF(G11="","",ROUND(G11/30.44,1))</f>
        <v>1.6</v>
      </c>
      <c r="I11" s="10" t="str">
        <f aca="false">IF(OR(F11="",D11="TP",D11=""),"",IF(G11&lt;Settings!$B$4,"Too young",IF(G11&lt;=Settings!$B$5,"Yes","Too old")))</f>
        <v>Yes</v>
      </c>
      <c r="J11" s="13" t="s">
        <v>40</v>
      </c>
      <c r="K11" s="13" t="s">
        <v>34</v>
      </c>
      <c r="L11" s="7"/>
      <c r="M11" s="7"/>
    </row>
    <row r="12" customFormat="false" ht="15" hidden="false" customHeight="true" outlineLevel="0" collapsed="false">
      <c r="A12" s="7" t="s">
        <v>144</v>
      </c>
      <c r="B12" s="7" t="s">
        <v>43</v>
      </c>
      <c r="C12" s="7" t="s">
        <v>43</v>
      </c>
      <c r="D12" s="7" t="s">
        <v>36</v>
      </c>
      <c r="E12" s="7" t="n">
        <v>4</v>
      </c>
      <c r="F12" s="8" t="n">
        <v>45943</v>
      </c>
      <c r="G12" s="9" t="n">
        <f aca="true">IF(F12="","",TODAY()-F12)</f>
        <v>378</v>
      </c>
      <c r="H12" s="9" t="n">
        <f aca="false">IF(G12="","",ROUND(G12/30.44,1))</f>
        <v>12.4</v>
      </c>
      <c r="I12" s="10" t="str">
        <f aca="false">IF(OR(F12="",D12="TP",D12=""),"",IF(G12&lt;Settings!$B$4,"Too young",IF(G12&lt;=Settings!$B$5,"Yes","Too old")))</f>
        <v>Too old</v>
      </c>
      <c r="J12" s="7"/>
      <c r="K12" s="7"/>
      <c r="L12" s="7" t="s">
        <v>145</v>
      </c>
      <c r="M12" s="7"/>
    </row>
    <row r="13" customFormat="false" ht="15" hidden="false" customHeight="true" outlineLevel="0" collapsed="false">
      <c r="A13" s="7" t="s">
        <v>146</v>
      </c>
      <c r="B13" s="7" t="s">
        <v>35</v>
      </c>
      <c r="C13" s="7" t="s">
        <v>136</v>
      </c>
      <c r="D13" s="7" t="s">
        <v>41</v>
      </c>
      <c r="E13" s="7" t="n">
        <v>3</v>
      </c>
      <c r="F13" s="8" t="n">
        <v>46272</v>
      </c>
      <c r="G13" s="9" t="n">
        <f aca="true">IF(F13="","",TODAY()-F13)</f>
        <v>49</v>
      </c>
      <c r="H13" s="9" t="n">
        <f aca="false">IF(G13="","",ROUND(G13/30.44,1))</f>
        <v>1.6</v>
      </c>
      <c r="I13" s="10" t="str">
        <f aca="false">IF(OR(F13="",D13="TP",D13=""),"",IF(G13&lt;Settings!$B$4,"Too young",IF(G13&lt;=Settings!$B$5,"Yes","Too old")))</f>
        <v>Yes</v>
      </c>
      <c r="J13" s="13" t="s">
        <v>40</v>
      </c>
      <c r="K13" s="13" t="s">
        <v>34</v>
      </c>
      <c r="L13" s="7"/>
      <c r="M13" s="7"/>
    </row>
    <row r="14" customFormat="false" ht="15" hidden="false" customHeight="true" outlineLevel="0" collapsed="false">
      <c r="A14" s="7" t="s">
        <v>55</v>
      </c>
      <c r="B14" s="7" t="s">
        <v>47</v>
      </c>
      <c r="C14" s="7" t="s">
        <v>142</v>
      </c>
      <c r="D14" s="7" t="s">
        <v>137</v>
      </c>
      <c r="E14" s="7" t="n">
        <v>3</v>
      </c>
      <c r="F14" s="8"/>
      <c r="G14" s="9" t="str">
        <f aca="true">IF(F14="","",TODAY()-F14)</f>
        <v/>
      </c>
      <c r="H14" s="9" t="str">
        <f aca="false">IF(G14="","",ROUND(G14/30.44,1))</f>
        <v/>
      </c>
      <c r="I14" s="10" t="str">
        <f aca="false">IF(OR(F14="",D14="TP",D14=""),"",IF(G14&lt;Settings!$B$4,"Too young",IF(G14&lt;=Settings!$B$5,"Yes","Too old")))</f>
        <v/>
      </c>
      <c r="J14" s="7"/>
      <c r="K14" s="7"/>
      <c r="L14" s="7" t="s">
        <v>138</v>
      </c>
      <c r="M14" s="7"/>
    </row>
    <row r="15" customFormat="false" ht="15" hidden="false" customHeight="true" outlineLevel="0" collapsed="false">
      <c r="A15" s="7" t="s">
        <v>147</v>
      </c>
      <c r="B15" s="7"/>
      <c r="C15" s="7"/>
      <c r="D15" s="7"/>
      <c r="E15" s="7"/>
      <c r="F15" s="8"/>
      <c r="G15" s="9" t="str">
        <f aca="true">IF(F15="","",TODAY()-F15)</f>
        <v/>
      </c>
      <c r="H15" s="9" t="str">
        <f aca="false">IF(G15="","",ROUND(G15/30.44,1))</f>
        <v/>
      </c>
      <c r="I15" s="10" t="str">
        <f aca="false">IF(OR(F15="",D15="TP",D15=""),"",IF(G15&lt;Settings!$B$4,"Too young",IF(G15&lt;=Settings!$B$5,"Yes","Too old")))</f>
        <v/>
      </c>
      <c r="J15" s="7"/>
      <c r="K15" s="7"/>
      <c r="L15" s="7"/>
      <c r="M15" s="7"/>
    </row>
    <row r="16" customFormat="false" ht="15" hidden="false" customHeight="true" outlineLevel="0" collapsed="false">
      <c r="A16" s="7" t="s">
        <v>148</v>
      </c>
      <c r="B16" s="7" t="s">
        <v>43</v>
      </c>
      <c r="C16" s="7" t="s">
        <v>43</v>
      </c>
      <c r="D16" s="7" t="s">
        <v>41</v>
      </c>
      <c r="E16" s="7" t="n">
        <v>2</v>
      </c>
      <c r="F16" s="8" t="n">
        <v>45943</v>
      </c>
      <c r="G16" s="9" t="n">
        <f aca="true">IF(F16="","",TODAY()-F16)</f>
        <v>378</v>
      </c>
      <c r="H16" s="9" t="n">
        <f aca="false">IF(G16="","",ROUND(G16/30.44,1))</f>
        <v>12.4</v>
      </c>
      <c r="I16" s="10" t="str">
        <f aca="false">IF(OR(F16="",D16="TP",D16=""),"",IF(G16&lt;Settings!$B$4,"Too young",IF(G16&lt;=Settings!$B$5,"Yes","Too old")))</f>
        <v>Too old</v>
      </c>
      <c r="J16" s="7"/>
      <c r="K16" s="7"/>
      <c r="L16" s="7" t="s">
        <v>145</v>
      </c>
      <c r="M16" s="7"/>
    </row>
    <row r="17" customFormat="false" ht="15" hidden="false" customHeight="true" outlineLevel="0" collapsed="false">
      <c r="A17" s="7" t="s">
        <v>149</v>
      </c>
      <c r="B17" s="7" t="s">
        <v>47</v>
      </c>
      <c r="C17" s="7" t="s">
        <v>132</v>
      </c>
      <c r="D17" s="7" t="s">
        <v>41</v>
      </c>
      <c r="E17" s="7" t="n">
        <v>2</v>
      </c>
      <c r="F17" s="8" t="n">
        <v>46241</v>
      </c>
      <c r="G17" s="9" t="n">
        <f aca="true">IF(F17="","",TODAY()-F17)</f>
        <v>80</v>
      </c>
      <c r="H17" s="9" t="n">
        <f aca="false">IF(G17="","",ROUND(G17/30.44,1))</f>
        <v>2.6</v>
      </c>
      <c r="I17" s="10" t="str">
        <f aca="false">IF(OR(F17="",D17="TP",D17=""),"",IF(G17&lt;Settings!$B$4,"Too young",IF(G17&lt;=Settings!$B$5,"Yes","Too old")))</f>
        <v>Yes</v>
      </c>
      <c r="J17" s="13" t="s">
        <v>48</v>
      </c>
      <c r="K17" s="13" t="s">
        <v>51</v>
      </c>
      <c r="L17" s="7"/>
      <c r="M17" s="7"/>
    </row>
    <row r="18" customFormat="false" ht="15" hidden="false" customHeight="true" outlineLevel="0" collapsed="false">
      <c r="A18" s="7" t="s">
        <v>150</v>
      </c>
      <c r="B18" s="7"/>
      <c r="C18" s="7"/>
      <c r="D18" s="7"/>
      <c r="E18" s="7"/>
      <c r="F18" s="8"/>
      <c r="G18" s="9" t="str">
        <f aca="true">IF(F18="","",TODAY()-F18)</f>
        <v/>
      </c>
      <c r="H18" s="9" t="str">
        <f aca="false">IF(G18="","",ROUND(G18/30.44,1))</f>
        <v/>
      </c>
      <c r="I18" s="10" t="str">
        <f aca="false">IF(OR(F18="",D18="TP",D18=""),"",IF(G18&lt;Settings!$B$4,"Too young",IF(G18&lt;=Settings!$B$5,"Yes","Too old")))</f>
        <v/>
      </c>
      <c r="J18" s="7"/>
      <c r="K18" s="7"/>
      <c r="L18" s="7"/>
      <c r="M18" s="7"/>
    </row>
    <row r="19" customFormat="false" ht="15" hidden="false" customHeight="true" outlineLevel="0" collapsed="false">
      <c r="A19" s="7" t="s">
        <v>151</v>
      </c>
      <c r="B19" s="7" t="s">
        <v>89</v>
      </c>
      <c r="C19" s="7" t="s">
        <v>152</v>
      </c>
      <c r="D19" s="7" t="s">
        <v>36</v>
      </c>
      <c r="E19" s="7" t="n">
        <v>2</v>
      </c>
      <c r="F19" s="8" t="n">
        <v>46274</v>
      </c>
      <c r="G19" s="9" t="n">
        <f aca="true">IF(F19="","",TODAY()-F19)</f>
        <v>47</v>
      </c>
      <c r="H19" s="9" t="n">
        <f aca="false">IF(G19="","",ROUND(G19/30.44,1))</f>
        <v>1.5</v>
      </c>
      <c r="I19" s="10" t="str">
        <f aca="false">IF(OR(F19="",D19="TP",D19=""),"",IF(G19&lt;Settings!$B$4,"Too young",IF(G19&lt;=Settings!$B$5,"Yes","Too old")))</f>
        <v>Too young</v>
      </c>
      <c r="J19" s="13" t="s">
        <v>88</v>
      </c>
      <c r="K19" s="13" t="s">
        <v>92</v>
      </c>
      <c r="L19" s="7"/>
      <c r="M19" s="7"/>
      <c r="N19" s="12" t="s">
        <v>53</v>
      </c>
    </row>
    <row r="20" customFormat="false" ht="15" hidden="false" customHeight="true" outlineLevel="0" collapsed="false">
      <c r="A20" s="7" t="s">
        <v>153</v>
      </c>
      <c r="B20" s="7" t="s">
        <v>82</v>
      </c>
      <c r="C20" s="7" t="s">
        <v>154</v>
      </c>
      <c r="D20" s="7" t="s">
        <v>41</v>
      </c>
      <c r="E20" s="7" t="n">
        <v>1</v>
      </c>
      <c r="F20" s="8" t="n">
        <v>46144</v>
      </c>
      <c r="G20" s="9" t="n">
        <f aca="true">IF(F20="","",TODAY()-F20)</f>
        <v>177</v>
      </c>
      <c r="H20" s="9" t="n">
        <f aca="false">IF(G20="","",ROUND(G20/30.44,1))</f>
        <v>5.8</v>
      </c>
      <c r="I20" s="10" t="str">
        <f aca="false">IF(OR(F20="",D20="TP",D20=""),"",IF(G20&lt;Settings!$B$4,"Too young",IF(G20&lt;=Settings!$B$5,"Yes","Too old")))</f>
        <v>Yes</v>
      </c>
      <c r="J20" s="7"/>
      <c r="K20" s="7"/>
      <c r="L20" s="7"/>
      <c r="M20" s="7"/>
    </row>
    <row r="21" customFormat="false" ht="15" hidden="false" customHeight="true" outlineLevel="0" collapsed="false">
      <c r="A21" s="7" t="s">
        <v>155</v>
      </c>
      <c r="B21" s="7" t="s">
        <v>35</v>
      </c>
      <c r="C21" s="7" t="s">
        <v>136</v>
      </c>
      <c r="D21" s="7" t="s">
        <v>36</v>
      </c>
      <c r="E21" s="7" t="n">
        <v>3</v>
      </c>
      <c r="F21" s="8" t="n">
        <v>46228</v>
      </c>
      <c r="G21" s="9" t="n">
        <f aca="true">IF(F21="","",TODAY()-F21)</f>
        <v>93</v>
      </c>
      <c r="H21" s="9" t="n">
        <f aca="false">IF(G21="","",ROUND(G21/30.44,1))</f>
        <v>3.1</v>
      </c>
      <c r="I21" s="10" t="str">
        <f aca="false">IF(OR(F21="",D21="TP",D21=""),"",IF(G21&lt;Settings!$B$4,"Too young",IF(G21&lt;=Settings!$B$5,"Yes","Too old")))</f>
        <v>Yes</v>
      </c>
      <c r="J21" s="7"/>
      <c r="K21" s="7"/>
      <c r="L21" s="7"/>
      <c r="M21" s="7"/>
    </row>
    <row r="22" customFormat="false" ht="15" hidden="false" customHeight="true" outlineLevel="0" collapsed="false">
      <c r="A22" s="7" t="s">
        <v>156</v>
      </c>
      <c r="B22" s="7"/>
      <c r="C22" s="7"/>
      <c r="D22" s="7"/>
      <c r="E22" s="7"/>
      <c r="F22" s="8"/>
      <c r="G22" s="9" t="str">
        <f aca="true">IF(F22="","",TODAY()-F22)</f>
        <v/>
      </c>
      <c r="H22" s="9" t="str">
        <f aca="false">IF(G22="","",ROUND(G22/30.44,1))</f>
        <v/>
      </c>
      <c r="I22" s="10" t="str">
        <f aca="false">IF(OR(F22="",D22="TP",D22=""),"",IF(G22&lt;Settings!$B$4,"Too young",IF(G22&lt;=Settings!$B$5,"Yes","Too old")))</f>
        <v/>
      </c>
      <c r="J22" s="7"/>
      <c r="K22" s="7"/>
      <c r="L22" s="7"/>
      <c r="M22" s="7"/>
    </row>
    <row r="23" customFormat="false" ht="15" hidden="false" customHeight="true" outlineLevel="0" collapsed="false">
      <c r="A23" s="7" t="s">
        <v>157</v>
      </c>
      <c r="B23" s="7" t="s">
        <v>47</v>
      </c>
      <c r="C23" s="7" t="s">
        <v>132</v>
      </c>
      <c r="D23" s="7" t="s">
        <v>36</v>
      </c>
      <c r="E23" s="7" t="n">
        <v>1</v>
      </c>
      <c r="F23" s="8" t="n">
        <v>46241</v>
      </c>
      <c r="G23" s="9" t="n">
        <f aca="true">IF(F23="","",TODAY()-F23)</f>
        <v>80</v>
      </c>
      <c r="H23" s="9" t="n">
        <f aca="false">IF(G23="","",ROUND(G23/30.44,1))</f>
        <v>2.6</v>
      </c>
      <c r="I23" s="10" t="str">
        <f aca="false">IF(OR(F23="",D23="TP",D23=""),"",IF(G23&lt;Settings!$B$4,"Too young",IF(G23&lt;=Settings!$B$5,"Yes","Too old")))</f>
        <v>Yes</v>
      </c>
      <c r="J23" s="13" t="s">
        <v>48</v>
      </c>
      <c r="K23" s="13" t="s">
        <v>51</v>
      </c>
      <c r="L23" s="7"/>
      <c r="M23" s="7"/>
    </row>
    <row r="24" customFormat="false" ht="15" hidden="false" customHeight="true" outlineLevel="0" collapsed="false">
      <c r="A24" s="7" t="s">
        <v>158</v>
      </c>
      <c r="B24" s="7" t="s">
        <v>47</v>
      </c>
      <c r="C24" s="7" t="s">
        <v>132</v>
      </c>
      <c r="D24" s="7" t="s">
        <v>36</v>
      </c>
      <c r="E24" s="7" t="n">
        <v>2</v>
      </c>
      <c r="F24" s="8" t="n">
        <v>46218</v>
      </c>
      <c r="G24" s="9" t="n">
        <f aca="true">IF(F24="","",TODAY()-F24)</f>
        <v>103</v>
      </c>
      <c r="H24" s="9" t="n">
        <f aca="false">IF(G24="","",ROUND(G24/30.44,1))</f>
        <v>3.4</v>
      </c>
      <c r="I24" s="10" t="str">
        <f aca="false">IF(OR(F24="",D24="TP",D24=""),"",IF(G24&lt;Settings!$B$4,"Too young",IF(G24&lt;=Settings!$B$5,"Yes","Too old")))</f>
        <v>Yes</v>
      </c>
      <c r="J24" s="13" t="s">
        <v>48</v>
      </c>
      <c r="K24" s="13" t="s">
        <v>51</v>
      </c>
      <c r="L24" s="7"/>
      <c r="M24" s="7"/>
    </row>
    <row r="25" customFormat="false" ht="15" hidden="false" customHeight="true" outlineLevel="0" collapsed="false">
      <c r="A25" s="7" t="s">
        <v>159</v>
      </c>
      <c r="B25" s="7" t="s">
        <v>82</v>
      </c>
      <c r="C25" s="7" t="s">
        <v>154</v>
      </c>
      <c r="D25" s="7" t="s">
        <v>36</v>
      </c>
      <c r="E25" s="7" t="n">
        <v>2</v>
      </c>
      <c r="F25" s="8" t="n">
        <v>46144</v>
      </c>
      <c r="G25" s="9" t="n">
        <f aca="true">IF(F25="","",TODAY()-F25)</f>
        <v>177</v>
      </c>
      <c r="H25" s="9" t="n">
        <f aca="false">IF(G25="","",ROUND(G25/30.44,1))</f>
        <v>5.8</v>
      </c>
      <c r="I25" s="10" t="str">
        <f aca="false">IF(OR(F25="",D25="TP",D25=""),"",IF(G25&lt;Settings!$B$4,"Too young",IF(G25&lt;=Settings!$B$5,"Yes","Too old")))</f>
        <v>Yes</v>
      </c>
      <c r="J25" s="7"/>
      <c r="K25" s="7"/>
      <c r="L25" s="7"/>
      <c r="M25" s="7"/>
    </row>
    <row r="26" customFormat="false" ht="15" hidden="false" customHeight="true" outlineLevel="0" collapsed="false">
      <c r="A26" s="7" t="s">
        <v>160</v>
      </c>
      <c r="B26" s="7" t="s">
        <v>89</v>
      </c>
      <c r="C26" s="7" t="s">
        <v>152</v>
      </c>
      <c r="D26" s="7" t="s">
        <v>41</v>
      </c>
      <c r="E26" s="7" t="n">
        <v>1</v>
      </c>
      <c r="F26" s="8" t="n">
        <v>46274</v>
      </c>
      <c r="G26" s="9" t="n">
        <f aca="true">IF(F26="","",TODAY()-F26)</f>
        <v>47</v>
      </c>
      <c r="H26" s="9" t="n">
        <f aca="false">IF(G26="","",ROUND(G26/30.44,1))</f>
        <v>1.5</v>
      </c>
      <c r="I26" s="10" t="str">
        <f aca="false">IF(OR(F26="",D26="TP",D26=""),"",IF(G26&lt;Settings!$B$4,"Too young",IF(G26&lt;=Settings!$B$5,"Yes","Too old")))</f>
        <v>Too young</v>
      </c>
      <c r="J26" s="13" t="s">
        <v>88</v>
      </c>
      <c r="K26" s="13" t="s">
        <v>92</v>
      </c>
      <c r="L26" s="7"/>
      <c r="M26" s="7"/>
      <c r="N26" s="12" t="s">
        <v>53</v>
      </c>
    </row>
    <row r="27" customFormat="false" ht="15" hidden="false" customHeight="true" outlineLevel="0" collapsed="false">
      <c r="A27" s="7" t="s">
        <v>161</v>
      </c>
      <c r="B27" s="7" t="s">
        <v>47</v>
      </c>
      <c r="C27" s="7" t="s">
        <v>142</v>
      </c>
      <c r="D27" s="7" t="s">
        <v>41</v>
      </c>
      <c r="E27" s="7" t="n">
        <v>1</v>
      </c>
      <c r="F27" s="8" t="n">
        <v>45650</v>
      </c>
      <c r="G27" s="9" t="n">
        <f aca="true">IF(F27="","",TODAY()-F27)</f>
        <v>671</v>
      </c>
      <c r="H27" s="9" t="n">
        <f aca="false">IF(G27="","",ROUND(G27/30.44,1))</f>
        <v>22</v>
      </c>
      <c r="I27" s="10" t="str">
        <f aca="false">IF(OR(F27="",D27="TP",D27=""),"",IF(G27&lt;Settings!$B$4,"Too young",IF(G27&lt;=Settings!$B$5,"Yes","Too old")))</f>
        <v>Too old</v>
      </c>
      <c r="J27" s="7"/>
      <c r="K27" s="7"/>
      <c r="L27" s="7" t="s">
        <v>162</v>
      </c>
      <c r="M27" s="7"/>
    </row>
    <row r="28" customFormat="false" ht="15" hidden="false" customHeight="true" outlineLevel="0" collapsed="false">
      <c r="A28" s="7" t="s">
        <v>163</v>
      </c>
      <c r="B28" s="7" t="s">
        <v>67</v>
      </c>
      <c r="C28" s="7" t="s">
        <v>164</v>
      </c>
      <c r="D28" s="7" t="s">
        <v>36</v>
      </c>
      <c r="E28" s="7" t="n">
        <v>1</v>
      </c>
      <c r="F28" s="8" t="n">
        <v>46238</v>
      </c>
      <c r="G28" s="9" t="n">
        <f aca="true">IF(F28="","",TODAY()-F28)</f>
        <v>83</v>
      </c>
      <c r="H28" s="9" t="n">
        <f aca="false">IF(G28="","",ROUND(G28/30.44,1))</f>
        <v>2.7</v>
      </c>
      <c r="I28" s="10" t="str">
        <f aca="false">IF(OR(F28="",D28="TP",D28=""),"",IF(G28&lt;Settings!$B$4,"Too young",IF(G28&lt;=Settings!$B$5,"Yes","Too old")))</f>
        <v>Yes</v>
      </c>
      <c r="J28" s="13" t="s">
        <v>66</v>
      </c>
      <c r="K28" s="13" t="s">
        <v>70</v>
      </c>
      <c r="L28" s="7"/>
      <c r="M28" s="7"/>
    </row>
    <row r="29" customFormat="false" ht="15" hidden="false" customHeight="true" outlineLevel="0" collapsed="false">
      <c r="A29" s="7" t="s">
        <v>165</v>
      </c>
      <c r="B29" s="7" t="s">
        <v>67</v>
      </c>
      <c r="C29" s="7" t="s">
        <v>164</v>
      </c>
      <c r="D29" s="7" t="s">
        <v>41</v>
      </c>
      <c r="E29" s="7" t="n">
        <v>2</v>
      </c>
      <c r="F29" s="8" t="n">
        <v>46238</v>
      </c>
      <c r="G29" s="9" t="n">
        <f aca="true">IF(F29="","",TODAY()-F29)</f>
        <v>83</v>
      </c>
      <c r="H29" s="9" t="n">
        <f aca="false">IF(G29="","",ROUND(G29/30.44,1))</f>
        <v>2.7</v>
      </c>
      <c r="I29" s="10" t="str">
        <f aca="false">IF(OR(F29="",D29="TP",D29=""),"",IF(G29&lt;Settings!$B$4,"Too young",IF(G29&lt;=Settings!$B$5,"Yes","Too old")))</f>
        <v>Yes</v>
      </c>
      <c r="J29" s="13" t="s">
        <v>66</v>
      </c>
      <c r="K29" s="13" t="s">
        <v>70</v>
      </c>
      <c r="L29" s="7"/>
      <c r="M29" s="7"/>
    </row>
    <row r="30" customFormat="false" ht="15" hidden="false" customHeight="true" outlineLevel="0" collapsed="false">
      <c r="A30" s="7" t="s">
        <v>166</v>
      </c>
      <c r="B30" s="7" t="s">
        <v>98</v>
      </c>
      <c r="C30" s="7" t="s">
        <v>167</v>
      </c>
      <c r="D30" s="7" t="s">
        <v>36</v>
      </c>
      <c r="E30" s="7" t="n">
        <v>2</v>
      </c>
      <c r="F30" s="8" t="n">
        <v>46284</v>
      </c>
      <c r="G30" s="9" t="n">
        <f aca="true">IF(F30="","",TODAY()-F30)</f>
        <v>37</v>
      </c>
      <c r="H30" s="9" t="n">
        <f aca="false">IF(G30="","",ROUND(G30/30.44,1))</f>
        <v>1.2</v>
      </c>
      <c r="I30" s="10" t="str">
        <f aca="false">IF(OR(F30="",D30="TP",D30=""),"",IF(G30&lt;Settings!$B$4,"Too young",IF(G30&lt;=Settings!$B$5,"Yes","Too old")))</f>
        <v>Too young</v>
      </c>
      <c r="J30" s="13" t="s">
        <v>97</v>
      </c>
      <c r="K30" s="13" t="s">
        <v>101</v>
      </c>
      <c r="L30" s="7" t="s">
        <v>168</v>
      </c>
      <c r="M30" s="7"/>
    </row>
    <row r="31" customFormat="false" ht="15" hidden="false" customHeight="true" outlineLevel="0" collapsed="false">
      <c r="A31" s="7" t="s">
        <v>169</v>
      </c>
      <c r="B31" s="7"/>
      <c r="C31" s="7"/>
      <c r="D31" s="7"/>
      <c r="E31" s="7"/>
      <c r="F31" s="8"/>
      <c r="G31" s="9" t="str">
        <f aca="true">IF(F31="","",TODAY()-F31)</f>
        <v/>
      </c>
      <c r="H31" s="9" t="str">
        <f aca="false">IF(G31="","",ROUND(G31/30.44,1))</f>
        <v/>
      </c>
      <c r="I31" s="10" t="str">
        <f aca="false">IF(OR(F31="",D31="TP",D31=""),"",IF(G31&lt;Settings!$B$4,"Too young",IF(G31&lt;=Settings!$B$5,"Yes","Too old")))</f>
        <v/>
      </c>
      <c r="J31" s="7"/>
      <c r="K31" s="7"/>
      <c r="L31" s="7"/>
      <c r="M31" s="7"/>
    </row>
    <row r="32" customFormat="false" ht="15" hidden="false" customHeight="true" outlineLevel="0" collapsed="false">
      <c r="A32" s="7" t="s">
        <v>170</v>
      </c>
      <c r="B32" s="7"/>
      <c r="C32" s="7"/>
      <c r="D32" s="7"/>
      <c r="E32" s="7"/>
      <c r="F32" s="8"/>
      <c r="G32" s="9" t="str">
        <f aca="true">IF(F32="","",TODAY()-F32)</f>
        <v/>
      </c>
      <c r="H32" s="9" t="str">
        <f aca="false">IF(G32="","",ROUND(G32/30.44,1))</f>
        <v/>
      </c>
      <c r="I32" s="10" t="str">
        <f aca="false">IF(OR(F32="",D32="TP",D32=""),"",IF(G32&lt;Settings!$B$4,"Too young",IF(G32&lt;=Settings!$B$5,"Yes","Too old")))</f>
        <v/>
      </c>
      <c r="J32" s="7"/>
      <c r="K32" s="7"/>
      <c r="L32" s="7"/>
      <c r="M32" s="7"/>
    </row>
    <row r="33" customFormat="false" ht="15" hidden="false" customHeight="true" outlineLevel="0" collapsed="false">
      <c r="A33" s="7" t="s">
        <v>61</v>
      </c>
      <c r="B33" s="7" t="s">
        <v>43</v>
      </c>
      <c r="C33" s="7" t="s">
        <v>142</v>
      </c>
      <c r="D33" s="7" t="s">
        <v>41</v>
      </c>
      <c r="E33" s="7" t="n">
        <v>1</v>
      </c>
      <c r="F33" s="8" t="n">
        <v>45828</v>
      </c>
      <c r="G33" s="9" t="n">
        <f aca="true">IF(F33="","",TODAY()-F33)</f>
        <v>493</v>
      </c>
      <c r="H33" s="9" t="n">
        <f aca="false">IF(G33="","",ROUND(G33/30.44,1))</f>
        <v>16.2</v>
      </c>
      <c r="I33" s="10" t="str">
        <f aca="false">IF(OR(F33="",D33="TP",D33=""),"",IF(G33&lt;Settings!$B$4,"Too young",IF(G33&lt;=Settings!$B$5,"Yes","Too old")))</f>
        <v>Too old</v>
      </c>
      <c r="J33" s="7"/>
      <c r="K33" s="7"/>
      <c r="L33" s="7" t="s">
        <v>171</v>
      </c>
      <c r="M33" s="7"/>
    </row>
    <row r="34" customFormat="false" ht="15" hidden="false" customHeight="true" outlineLevel="0" collapsed="false">
      <c r="A34" s="7" t="s">
        <v>172</v>
      </c>
      <c r="B34" s="7" t="s">
        <v>98</v>
      </c>
      <c r="C34" s="7" t="s">
        <v>167</v>
      </c>
      <c r="D34" s="7" t="s">
        <v>41</v>
      </c>
      <c r="E34" s="7" t="n">
        <v>3</v>
      </c>
      <c r="F34" s="8" t="n">
        <v>46053</v>
      </c>
      <c r="G34" s="9" t="n">
        <f aca="true">IF(F34="","",TODAY()-F34)</f>
        <v>268</v>
      </c>
      <c r="H34" s="9" t="n">
        <f aca="false">IF(G34="","",ROUND(G34/30.44,1))</f>
        <v>8.8</v>
      </c>
      <c r="I34" s="10" t="str">
        <f aca="false">IF(OR(F34="",D34="TP",D34=""),"",IF(G34&lt;Settings!$B$4,"Too young",IF(G34&lt;=Settings!$B$5,"Yes","Too old")))</f>
        <v>Too old</v>
      </c>
      <c r="J34" s="7"/>
      <c r="K34" s="7"/>
      <c r="L34" s="7" t="s">
        <v>168</v>
      </c>
      <c r="M34" s="7"/>
    </row>
    <row r="35" customFormat="false" ht="15" hidden="false" customHeight="true" outlineLevel="0" collapsed="false">
      <c r="A35" s="7" t="s">
        <v>173</v>
      </c>
      <c r="B35" s="7" t="s">
        <v>35</v>
      </c>
      <c r="C35" s="7" t="s">
        <v>136</v>
      </c>
      <c r="D35" s="7" t="s">
        <v>41</v>
      </c>
      <c r="E35" s="7" t="n">
        <v>2</v>
      </c>
      <c r="F35" s="8" t="n">
        <v>46293</v>
      </c>
      <c r="G35" s="9" t="n">
        <f aca="true">IF(F35="","",TODAY()-F35)</f>
        <v>28</v>
      </c>
      <c r="H35" s="9" t="n">
        <f aca="false">IF(G35="","",ROUND(G35/30.44,1))</f>
        <v>0.9</v>
      </c>
      <c r="I35" s="10" t="str">
        <f aca="false">IF(OR(F35="",D35="TP",D35=""),"",IF(G35&lt;Settings!$B$4,"Too young",IF(G35&lt;=Settings!$B$5,"Yes","Too old")))</f>
        <v>Too young</v>
      </c>
      <c r="J35" s="13" t="s">
        <v>93</v>
      </c>
      <c r="K35" s="13" t="s">
        <v>96</v>
      </c>
      <c r="L35" s="7"/>
      <c r="M35" s="7"/>
    </row>
    <row r="36" customFormat="false" ht="15" hidden="false" customHeight="true" outlineLevel="0" collapsed="false">
      <c r="A36" s="7" t="s">
        <v>174</v>
      </c>
      <c r="B36" s="7"/>
      <c r="C36" s="7"/>
      <c r="D36" s="7"/>
      <c r="E36" s="7"/>
      <c r="F36" s="8"/>
      <c r="G36" s="9" t="str">
        <f aca="true">IF(F36="","",TODAY()-F36)</f>
        <v/>
      </c>
      <c r="H36" s="9" t="str">
        <f aca="false">IF(G36="","",ROUND(G36/30.44,1))</f>
        <v/>
      </c>
      <c r="I36" s="10" t="str">
        <f aca="false">IF(OR(F36="",D36="TP",D36=""),"",IF(G36&lt;Settings!$B$4,"Too young",IF(G36&lt;=Settings!$B$5,"Yes","Too old")))</f>
        <v/>
      </c>
      <c r="J36" s="7"/>
      <c r="K36" s="7"/>
      <c r="L36" s="7"/>
      <c r="M36" s="7"/>
    </row>
    <row r="37" customFormat="false" ht="15" hidden="false" customHeight="true" outlineLevel="0" collapsed="false">
      <c r="A37" s="7" t="s">
        <v>175</v>
      </c>
      <c r="B37" s="7"/>
      <c r="C37" s="7"/>
      <c r="D37" s="7"/>
      <c r="E37" s="7"/>
      <c r="F37" s="8"/>
      <c r="G37" s="9" t="str">
        <f aca="true">IF(F37="","",TODAY()-F37)</f>
        <v/>
      </c>
      <c r="H37" s="9" t="str">
        <f aca="false">IF(G37="","",ROUND(G37/30.44,1))</f>
        <v/>
      </c>
      <c r="I37" s="10" t="str">
        <f aca="false">IF(OR(F37="",D37="TP",D37=""),"",IF(G37&lt;Settings!$B$4,"Too young",IF(G37&lt;=Settings!$B$5,"Yes","Too old")))</f>
        <v/>
      </c>
      <c r="J37" s="7"/>
      <c r="K37" s="7"/>
      <c r="L37" s="7"/>
      <c r="M37" s="7"/>
    </row>
    <row r="38" customFormat="false" ht="15" hidden="false" customHeight="true" outlineLevel="0" collapsed="false">
      <c r="A38" s="7" t="s">
        <v>176</v>
      </c>
      <c r="B38" s="7" t="s">
        <v>77</v>
      </c>
      <c r="C38" s="7" t="s">
        <v>77</v>
      </c>
      <c r="D38" s="7" t="s">
        <v>41</v>
      </c>
      <c r="E38" s="7" t="n">
        <v>4</v>
      </c>
      <c r="F38" s="8" t="n">
        <v>46286</v>
      </c>
      <c r="G38" s="9" t="n">
        <f aca="true">IF(F38="","",TODAY()-F38)</f>
        <v>35</v>
      </c>
      <c r="H38" s="9" t="n">
        <f aca="false">IF(G38="","",ROUND(G38/30.44,1))</f>
        <v>1.1</v>
      </c>
      <c r="I38" s="10" t="str">
        <f aca="false">IF(OR(F38="",D38="TP",D38=""),"",IF(G38&lt;Settings!$B$4,"Too young",IF(G38&lt;=Settings!$B$5,"Yes","Too old")))</f>
        <v>Too young</v>
      </c>
      <c r="J38" s="13" t="s">
        <v>76</v>
      </c>
      <c r="K38" s="13" t="s">
        <v>80</v>
      </c>
      <c r="L38" s="7"/>
      <c r="M38" s="7"/>
    </row>
    <row r="39" customFormat="false" ht="15" hidden="false" customHeight="true" outlineLevel="0" collapsed="false">
      <c r="A39" s="7" t="s">
        <v>177</v>
      </c>
      <c r="B39" s="7" t="s">
        <v>77</v>
      </c>
      <c r="C39" s="7" t="s">
        <v>77</v>
      </c>
      <c r="D39" s="7" t="s">
        <v>36</v>
      </c>
      <c r="E39" s="7" t="n">
        <v>4</v>
      </c>
      <c r="F39" s="8" t="n">
        <v>46286</v>
      </c>
      <c r="G39" s="9" t="n">
        <f aca="true">IF(F39="","",TODAY()-F39)</f>
        <v>35</v>
      </c>
      <c r="H39" s="9" t="n">
        <f aca="false">IF(G39="","",ROUND(G39/30.44,1))</f>
        <v>1.1</v>
      </c>
      <c r="I39" s="10" t="str">
        <f aca="false">IF(OR(F39="",D39="TP",D39=""),"",IF(G39&lt;Settings!$B$4,"Too young",IF(G39&lt;=Settings!$B$5,"Yes","Too old")))</f>
        <v>Too young</v>
      </c>
      <c r="J39" s="13" t="s">
        <v>76</v>
      </c>
      <c r="K39" s="13" t="s">
        <v>80</v>
      </c>
      <c r="L39" s="7"/>
      <c r="M39" s="7"/>
    </row>
    <row r="40" customFormat="false" ht="15" hidden="false" customHeight="true" outlineLevel="0" collapsed="false">
      <c r="A40" s="7" t="s">
        <v>178</v>
      </c>
      <c r="B40" s="7" t="s">
        <v>35</v>
      </c>
      <c r="C40" s="7" t="s">
        <v>136</v>
      </c>
      <c r="D40" s="7" t="s">
        <v>36</v>
      </c>
      <c r="E40" s="7" t="n">
        <v>5</v>
      </c>
      <c r="F40" s="8" t="n">
        <v>46293</v>
      </c>
      <c r="G40" s="9" t="n">
        <f aca="true">IF(F40="","",TODAY()-F40)</f>
        <v>28</v>
      </c>
      <c r="H40" s="9" t="n">
        <f aca="false">IF(G40="","",ROUND(G40/30.44,1))</f>
        <v>0.9</v>
      </c>
      <c r="I40" s="10" t="str">
        <f aca="false">IF(OR(F40="",D40="TP",D40=""),"",IF(G40&lt;Settings!$B$4,"Too young",IF(G40&lt;=Settings!$B$5,"Yes","Too old")))</f>
        <v>Too young</v>
      </c>
      <c r="J40" s="13" t="s">
        <v>93</v>
      </c>
      <c r="K40" s="13" t="s">
        <v>96</v>
      </c>
      <c r="L40" s="7"/>
      <c r="M40" s="7"/>
    </row>
    <row r="41" customFormat="false" ht="15" hidden="false" customHeight="true" outlineLevel="0" collapsed="false">
      <c r="A41" s="7" t="s">
        <v>179</v>
      </c>
      <c r="B41" s="7"/>
      <c r="C41" s="7"/>
      <c r="D41" s="7"/>
      <c r="E41" s="7"/>
      <c r="F41" s="8"/>
      <c r="G41" s="9" t="str">
        <f aca="true">IF(F41="","",TODAY()-F41)</f>
        <v/>
      </c>
      <c r="H41" s="9" t="str">
        <f aca="false">IF(G41="","",ROUND(G41/30.44,1))</f>
        <v/>
      </c>
      <c r="I41" s="10" t="str">
        <f aca="false">IF(OR(F41="",D41="TP",D41=""),"",IF(G41&lt;Settings!$B$4,"Too young",IF(G41&lt;=Settings!$B$5,"Yes","Too old")))</f>
        <v/>
      </c>
      <c r="J41" s="7"/>
      <c r="K41" s="7"/>
      <c r="L41" s="7"/>
      <c r="M41" s="7"/>
    </row>
    <row r="42" customFormat="false" ht="15" hidden="false" customHeight="true" outlineLevel="0" collapsed="false">
      <c r="A42" s="7" t="s">
        <v>180</v>
      </c>
      <c r="B42" s="7" t="s">
        <v>98</v>
      </c>
      <c r="C42" s="7" t="s">
        <v>167</v>
      </c>
      <c r="D42" s="7" t="s">
        <v>36</v>
      </c>
      <c r="E42" s="7" t="n">
        <v>3</v>
      </c>
      <c r="F42" s="8" t="n">
        <v>46061</v>
      </c>
      <c r="G42" s="9" t="n">
        <f aca="true">IF(F42="","",TODAY()-F42)</f>
        <v>260</v>
      </c>
      <c r="H42" s="9" t="n">
        <f aca="false">IF(G42="","",ROUND(G42/30.44,1))</f>
        <v>8.5</v>
      </c>
      <c r="I42" s="10" t="str">
        <f aca="false">IF(OR(F42="",D42="TP",D42=""),"",IF(G42&lt;Settings!$B$4,"Too young",IF(G42&lt;=Settings!$B$5,"Yes","Too old")))</f>
        <v>Too old</v>
      </c>
      <c r="J42" s="13" t="s">
        <v>97</v>
      </c>
      <c r="K42" s="13" t="s">
        <v>101</v>
      </c>
      <c r="L42" s="7" t="s">
        <v>168</v>
      </c>
      <c r="M42" s="7"/>
    </row>
    <row r="43" customFormat="false" ht="15" hidden="false" customHeight="true" outlineLevel="0" collapsed="false">
      <c r="A43" s="7" t="s">
        <v>181</v>
      </c>
      <c r="B43" s="7"/>
      <c r="C43" s="7"/>
      <c r="D43" s="7"/>
      <c r="E43" s="7"/>
      <c r="F43" s="8"/>
      <c r="G43" s="9" t="str">
        <f aca="true">IF(F43="","",TODAY()-F43)</f>
        <v/>
      </c>
      <c r="H43" s="9" t="str">
        <f aca="false">IF(G43="","",ROUND(G43/30.44,1))</f>
        <v/>
      </c>
      <c r="I43" s="10" t="str">
        <f aca="false">IF(OR(F43="",D43="TP",D43=""),"",IF(G43&lt;Settings!$B$4,"Too young",IF(G43&lt;=Settings!$B$5,"Yes","Too old")))</f>
        <v/>
      </c>
      <c r="J43" s="7"/>
      <c r="K43" s="7"/>
      <c r="L43" s="7"/>
      <c r="M43" s="7"/>
    </row>
    <row r="44" customFormat="false" ht="15" hidden="false" customHeight="true" outlineLevel="0" collapsed="false">
      <c r="A44" s="7" t="s">
        <v>182</v>
      </c>
      <c r="B44" s="7"/>
      <c r="C44" s="7"/>
      <c r="D44" s="7"/>
      <c r="E44" s="7"/>
      <c r="F44" s="8"/>
      <c r="G44" s="9" t="str">
        <f aca="true">IF(F44="","",TODAY()-F44)</f>
        <v/>
      </c>
      <c r="H44" s="9" t="str">
        <f aca="false">IF(G44="","",ROUND(G44/30.44,1))</f>
        <v/>
      </c>
      <c r="I44" s="10" t="str">
        <f aca="false">IF(OR(F44="",D44="TP",D44=""),"",IF(G44&lt;Settings!$B$4,"Too young",IF(G44&lt;=Settings!$B$5,"Yes","Too old")))</f>
        <v/>
      </c>
      <c r="J44" s="7"/>
      <c r="K44" s="7"/>
      <c r="L44" s="7"/>
      <c r="M44" s="7"/>
    </row>
    <row r="45" customFormat="false" ht="15" hidden="false" customHeight="true" outlineLevel="0" collapsed="false">
      <c r="A45" s="7" t="s">
        <v>183</v>
      </c>
      <c r="B45" s="7"/>
      <c r="C45" s="7"/>
      <c r="D45" s="7"/>
      <c r="E45" s="7"/>
      <c r="F45" s="8"/>
      <c r="G45" s="9" t="str">
        <f aca="true">IF(F45="","",TODAY()-F45)</f>
        <v/>
      </c>
      <c r="H45" s="9" t="str">
        <f aca="false">IF(G45="","",ROUND(G45/30.44,1))</f>
        <v/>
      </c>
      <c r="I45" s="10" t="str">
        <f aca="false">IF(OR(F45="",D45="TP",D45=""),"",IF(G45&lt;Settings!$B$4,"Too young",IF(G45&lt;=Settings!$B$5,"Yes","Too old")))</f>
        <v/>
      </c>
      <c r="J45" s="7"/>
      <c r="K45" s="7"/>
      <c r="L45" s="7"/>
      <c r="M45" s="7"/>
    </row>
    <row r="46" customFormat="false" ht="15" hidden="false" customHeight="true" outlineLevel="0" collapsed="false">
      <c r="A46" s="7" t="s">
        <v>184</v>
      </c>
      <c r="B46" s="7"/>
      <c r="C46" s="7"/>
      <c r="D46" s="7"/>
      <c r="E46" s="7"/>
      <c r="F46" s="8"/>
      <c r="G46" s="9" t="str">
        <f aca="true">IF(F46="","",TODAY()-F46)</f>
        <v/>
      </c>
      <c r="H46" s="9" t="str">
        <f aca="false">IF(G46="","",ROUND(G46/30.44,1))</f>
        <v/>
      </c>
      <c r="I46" s="10" t="str">
        <f aca="false">IF(OR(F46="",D46="TP",D46=""),"",IF(G46&lt;Settings!$B$4,"Too young",IF(G46&lt;=Settings!$B$5,"Yes","Too old")))</f>
        <v/>
      </c>
      <c r="J46" s="7"/>
      <c r="K46" s="7"/>
      <c r="L46" s="7"/>
      <c r="M46" s="7"/>
    </row>
    <row r="47" customFormat="false" ht="15" hidden="false" customHeight="true" outlineLevel="0" collapsed="false">
      <c r="A47" s="7" t="s">
        <v>185</v>
      </c>
      <c r="B47" s="7"/>
      <c r="C47" s="7"/>
      <c r="D47" s="7"/>
      <c r="E47" s="7"/>
      <c r="F47" s="8"/>
      <c r="G47" s="9" t="str">
        <f aca="true">IF(F47="","",TODAY()-F47)</f>
        <v/>
      </c>
      <c r="H47" s="9" t="str">
        <f aca="false">IF(G47="","",ROUND(G47/30.44,1))</f>
        <v/>
      </c>
      <c r="I47" s="10" t="str">
        <f aca="false">IF(OR(F47="",D47="TP",D47=""),"",IF(G47&lt;Settings!$B$4,"Too young",IF(G47&lt;=Settings!$B$5,"Yes","Too old")))</f>
        <v/>
      </c>
      <c r="J47" s="7"/>
      <c r="K47" s="7"/>
      <c r="L47" s="7"/>
      <c r="M47" s="7"/>
    </row>
    <row r="48" customFormat="false" ht="15" hidden="false" customHeight="true" outlineLevel="0" collapsed="false">
      <c r="A48" s="7" t="s">
        <v>186</v>
      </c>
      <c r="B48" s="7"/>
      <c r="C48" s="7"/>
      <c r="D48" s="7"/>
      <c r="E48" s="7"/>
      <c r="F48" s="8"/>
      <c r="G48" s="9" t="str">
        <f aca="true">IF(F48="","",TODAY()-F48)</f>
        <v/>
      </c>
      <c r="H48" s="9" t="str">
        <f aca="false">IF(G48="","",ROUND(G48/30.44,1))</f>
        <v/>
      </c>
      <c r="I48" s="10" t="str">
        <f aca="false">IF(OR(F48="",D48="TP",D48=""),"",IF(G48&lt;Settings!$B$4,"Too young",IF(G48&lt;=Settings!$B$5,"Yes","Too old")))</f>
        <v/>
      </c>
      <c r="J48" s="7"/>
      <c r="K48" s="7"/>
      <c r="L48" s="7"/>
      <c r="M48" s="7"/>
    </row>
    <row r="49" customFormat="false" ht="15" hidden="false" customHeight="true" outlineLevel="0" collapsed="false">
      <c r="A49" s="7" t="s">
        <v>187</v>
      </c>
      <c r="B49" s="7" t="s">
        <v>72</v>
      </c>
      <c r="C49" s="7" t="s">
        <v>188</v>
      </c>
      <c r="D49" s="7" t="s">
        <v>41</v>
      </c>
      <c r="E49" s="7" t="n">
        <v>3</v>
      </c>
      <c r="F49" s="8" t="n">
        <v>46208</v>
      </c>
      <c r="G49" s="9" t="n">
        <f aca="true">IF(F49="","",TODAY()-F49)</f>
        <v>113</v>
      </c>
      <c r="H49" s="9" t="n">
        <f aca="false">IF(G49="","",ROUND(G49/30.44,1))</f>
        <v>3.7</v>
      </c>
      <c r="I49" s="10" t="str">
        <f aca="false">IF(OR(F49="",D49="TP",D49=""),"",IF(G49&lt;Settings!$B$4,"Too young",IF(G49&lt;=Settings!$B$5,"Yes","Too old")))</f>
        <v>Yes</v>
      </c>
      <c r="J49" s="13" t="s">
        <v>71</v>
      </c>
      <c r="K49" s="13" t="s">
        <v>75</v>
      </c>
      <c r="L49" s="7"/>
      <c r="M49" s="7"/>
    </row>
    <row r="50" customFormat="false" ht="15" hidden="false" customHeight="true" outlineLevel="0" collapsed="false">
      <c r="A50" s="7" t="s">
        <v>68</v>
      </c>
      <c r="B50" s="7" t="s">
        <v>67</v>
      </c>
      <c r="C50" s="7" t="s">
        <v>189</v>
      </c>
      <c r="D50" s="7" t="s">
        <v>137</v>
      </c>
      <c r="E50" s="7" t="n">
        <v>2</v>
      </c>
      <c r="F50" s="8"/>
      <c r="G50" s="9" t="str">
        <f aca="true">IF(F50="","",TODAY()-F50)</f>
        <v/>
      </c>
      <c r="H50" s="9" t="str">
        <f aca="false">IF(G50="","",ROUND(G50/30.44,1))</f>
        <v/>
      </c>
      <c r="I50" s="10" t="str">
        <f aca="false">IF(OR(F50="",D50="TP",D50=""),"",IF(G50&lt;Settings!$B$4,"Too young",IF(G50&lt;=Settings!$B$5,"Yes","Too old")))</f>
        <v/>
      </c>
      <c r="J50" s="7"/>
      <c r="K50" s="7"/>
      <c r="L50" s="7" t="s">
        <v>138</v>
      </c>
      <c r="M50" s="7"/>
    </row>
    <row r="51" customFormat="false" ht="15" hidden="false" customHeight="true" outlineLevel="0" collapsed="false">
      <c r="A51" s="7" t="s">
        <v>190</v>
      </c>
      <c r="B51" s="7"/>
      <c r="C51" s="7"/>
      <c r="D51" s="7"/>
      <c r="E51" s="7"/>
      <c r="F51" s="8"/>
      <c r="G51" s="9" t="str">
        <f aca="true">IF(F51="","",TODAY()-F51)</f>
        <v/>
      </c>
      <c r="H51" s="9" t="str">
        <f aca="false">IF(G51="","",ROUND(G51/30.44,1))</f>
        <v/>
      </c>
      <c r="I51" s="10" t="str">
        <f aca="false">IF(OR(F51="",D51="TP",D51=""),"",IF(G51&lt;Settings!$B$4,"Too young",IF(G51&lt;=Settings!$B$5,"Yes","Too old")))</f>
        <v/>
      </c>
      <c r="J51" s="7"/>
      <c r="K51" s="7"/>
      <c r="L51" s="7"/>
      <c r="M51" s="7"/>
    </row>
    <row r="52" customFormat="false" ht="15" hidden="false" customHeight="true" outlineLevel="0" collapsed="false">
      <c r="A52" s="7" t="s">
        <v>191</v>
      </c>
      <c r="B52" s="7" t="s">
        <v>72</v>
      </c>
      <c r="C52" s="7" t="s">
        <v>188</v>
      </c>
      <c r="D52" s="7" t="s">
        <v>36</v>
      </c>
      <c r="E52" s="7" t="n">
        <v>3</v>
      </c>
      <c r="F52" s="8" t="n">
        <v>46148</v>
      </c>
      <c r="G52" s="9" t="n">
        <f aca="true">IF(F52="","",TODAY()-F52)</f>
        <v>173</v>
      </c>
      <c r="H52" s="9" t="n">
        <f aca="false">IF(G52="","",ROUND(G52/30.44,1))</f>
        <v>5.7</v>
      </c>
      <c r="I52" s="10" t="str">
        <f aca="false">IF(OR(F52="",D52="TP",D52=""),"",IF(G52&lt;Settings!$B$4,"Too young",IF(G52&lt;=Settings!$B$5,"Yes","Too old")))</f>
        <v>Yes</v>
      </c>
      <c r="J52" s="7"/>
      <c r="K52" s="7"/>
      <c r="L52" s="7"/>
      <c r="M52" s="7"/>
    </row>
    <row r="53" customFormat="false" ht="15" hidden="false" customHeight="true" outlineLevel="0" collapsed="false">
      <c r="A53" s="7" t="s">
        <v>192</v>
      </c>
      <c r="B53" s="7"/>
      <c r="C53" s="7"/>
      <c r="D53" s="7"/>
      <c r="E53" s="7"/>
      <c r="F53" s="8"/>
      <c r="G53" s="9" t="str">
        <f aca="true">IF(F53="","",TODAY()-F53)</f>
        <v/>
      </c>
      <c r="H53" s="9" t="str">
        <f aca="false">IF(G53="","",ROUND(G53/30.44,1))</f>
        <v/>
      </c>
      <c r="I53" s="10" t="str">
        <f aca="false">IF(OR(F53="",D53="TP",D53=""),"",IF(G53&lt;Settings!$B$4,"Too young",IF(G53&lt;=Settings!$B$5,"Yes","Too old")))</f>
        <v/>
      </c>
      <c r="J53" s="7"/>
      <c r="K53" s="7"/>
      <c r="L53" s="7"/>
      <c r="M53" s="7"/>
    </row>
    <row r="54" customFormat="false" ht="15" hidden="false" customHeight="true" outlineLevel="0" collapsed="false">
      <c r="A54" s="7" t="s">
        <v>193</v>
      </c>
      <c r="B54" s="7" t="s">
        <v>72</v>
      </c>
      <c r="C54" s="7" t="s">
        <v>188</v>
      </c>
      <c r="D54" s="7" t="s">
        <v>36</v>
      </c>
      <c r="E54" s="7" t="n">
        <v>2</v>
      </c>
      <c r="F54" s="8" t="n">
        <v>46208</v>
      </c>
      <c r="G54" s="9" t="n">
        <f aca="true">IF(F54="","",TODAY()-F54)</f>
        <v>113</v>
      </c>
      <c r="H54" s="9" t="n">
        <f aca="false">IF(G54="","",ROUND(G54/30.44,1))</f>
        <v>3.7</v>
      </c>
      <c r="I54" s="10" t="str">
        <f aca="false">IF(OR(F54="",D54="TP",D54=""),"",IF(G54&lt;Settings!$B$4,"Too young",IF(G54&lt;=Settings!$B$5,"Yes","Too old")))</f>
        <v>Yes</v>
      </c>
      <c r="J54" s="13" t="s">
        <v>71</v>
      </c>
      <c r="K54" s="13" t="s">
        <v>75</v>
      </c>
      <c r="L54" s="7"/>
      <c r="M54" s="7"/>
    </row>
    <row r="55" customFormat="false" ht="15" hidden="false" customHeight="true" outlineLevel="0" collapsed="false">
      <c r="A55" s="7" t="s">
        <v>194</v>
      </c>
      <c r="B55" s="7" t="s">
        <v>82</v>
      </c>
      <c r="C55" s="7" t="s">
        <v>154</v>
      </c>
      <c r="D55" s="7" t="s">
        <v>36</v>
      </c>
      <c r="E55" s="7" t="n">
        <v>4</v>
      </c>
      <c r="F55" s="8" t="n">
        <v>46099</v>
      </c>
      <c r="G55" s="9" t="n">
        <f aca="true">IF(F55="","",TODAY()-F55)</f>
        <v>222</v>
      </c>
      <c r="H55" s="9" t="n">
        <f aca="false">IF(G55="","",ROUND(G55/30.44,1))</f>
        <v>7.3</v>
      </c>
      <c r="I55" s="10" t="str">
        <f aca="false">IF(OR(F55="",D55="TP",D55=""),"",IF(G55&lt;Settings!$B$4,"Too young",IF(G55&lt;=Settings!$B$5,"Yes","Too old")))</f>
        <v>Too old</v>
      </c>
      <c r="J55" s="7"/>
      <c r="K55" s="7"/>
      <c r="L55" s="7" t="s">
        <v>195</v>
      </c>
      <c r="M55" s="7"/>
    </row>
    <row r="56" customFormat="false" ht="15" hidden="false" customHeight="true" outlineLevel="0" collapsed="false">
      <c r="A56" s="7" t="s">
        <v>196</v>
      </c>
      <c r="B56" s="7" t="s">
        <v>77</v>
      </c>
      <c r="C56" s="7" t="s">
        <v>77</v>
      </c>
      <c r="D56" s="7" t="s">
        <v>41</v>
      </c>
      <c r="E56" s="7" t="n">
        <v>5</v>
      </c>
      <c r="F56" s="8" t="n">
        <v>46023</v>
      </c>
      <c r="G56" s="9" t="n">
        <f aca="true">IF(F56="","",TODAY()-F56)</f>
        <v>298</v>
      </c>
      <c r="H56" s="9" t="n">
        <f aca="false">IF(G56="","",ROUND(G56/30.44,1))</f>
        <v>9.8</v>
      </c>
      <c r="I56" s="10" t="str">
        <f aca="false">IF(OR(F56="",D56="TP",D56=""),"",IF(G56&lt;Settings!$B$4,"Too young",IF(G56&lt;=Settings!$B$5,"Yes","Too old")))</f>
        <v>Too old</v>
      </c>
      <c r="J56" s="7"/>
      <c r="K56" s="7"/>
      <c r="L56" s="7" t="s">
        <v>145</v>
      </c>
      <c r="M56" s="7"/>
    </row>
    <row r="57" customFormat="false" ht="15" hidden="false" customHeight="true" outlineLevel="0" collapsed="false">
      <c r="A57" s="7" t="s">
        <v>197</v>
      </c>
      <c r="B57" s="7" t="s">
        <v>67</v>
      </c>
      <c r="C57" s="7" t="s">
        <v>189</v>
      </c>
      <c r="D57" s="7" t="s">
        <v>36</v>
      </c>
      <c r="E57" s="7" t="n">
        <v>3</v>
      </c>
      <c r="F57" s="8" t="n">
        <v>45990</v>
      </c>
      <c r="G57" s="9" t="n">
        <f aca="true">IF(F57="","",TODAY()-F57)</f>
        <v>331</v>
      </c>
      <c r="H57" s="9" t="n">
        <f aca="false">IF(G57="","",ROUND(G57/30.44,1))</f>
        <v>10.9</v>
      </c>
      <c r="I57" s="10" t="str">
        <f aca="false">IF(OR(F57="",D57="TP",D57=""),"",IF(G57&lt;Settings!$B$4,"Too young",IF(G57&lt;=Settings!$B$5,"Yes","Too old")))</f>
        <v>Too old</v>
      </c>
      <c r="J57" s="7"/>
      <c r="K57" s="7"/>
      <c r="L57" s="7" t="s">
        <v>198</v>
      </c>
      <c r="M57" s="7"/>
    </row>
    <row r="58" customFormat="false" ht="15" hidden="false" customHeight="true" outlineLevel="0" collapsed="false">
      <c r="A58" s="7" t="s">
        <v>73</v>
      </c>
      <c r="B58" s="7" t="s">
        <v>72</v>
      </c>
      <c r="C58" s="7" t="s">
        <v>199</v>
      </c>
      <c r="D58" s="7" t="s">
        <v>137</v>
      </c>
      <c r="E58" s="7" t="n">
        <v>2</v>
      </c>
      <c r="F58" s="8"/>
      <c r="G58" s="9" t="str">
        <f aca="true">IF(F58="","",TODAY()-F58)</f>
        <v/>
      </c>
      <c r="H58" s="9" t="str">
        <f aca="false">IF(G58="","",ROUND(G58/30.44,1))</f>
        <v/>
      </c>
      <c r="I58" s="10" t="str">
        <f aca="false">IF(OR(F58="",D58="TP",D58=""),"",IF(G58&lt;Settings!$B$4,"Too young",IF(G58&lt;=Settings!$B$5,"Yes","Too old")))</f>
        <v/>
      </c>
      <c r="J58" s="7"/>
      <c r="K58" s="7"/>
      <c r="L58" s="7" t="s">
        <v>200</v>
      </c>
      <c r="M58" s="7"/>
    </row>
    <row r="59" customFormat="false" ht="15" hidden="false" customHeight="true" outlineLevel="0" collapsed="false">
      <c r="A59" s="7" t="s">
        <v>201</v>
      </c>
      <c r="B59" s="7" t="s">
        <v>82</v>
      </c>
      <c r="C59" s="7" t="s">
        <v>154</v>
      </c>
      <c r="D59" s="7" t="s">
        <v>41</v>
      </c>
      <c r="E59" s="7" t="n">
        <v>3</v>
      </c>
      <c r="F59" s="8" t="n">
        <v>46199</v>
      </c>
      <c r="G59" s="9" t="n">
        <f aca="true">IF(F59="","",TODAY()-F59)</f>
        <v>122</v>
      </c>
      <c r="H59" s="9" t="n">
        <f aca="false">IF(G59="","",ROUND(G59/30.44,1))</f>
        <v>4</v>
      </c>
      <c r="I59" s="10" t="str">
        <f aca="false">IF(OR(F59="",D59="TP",D59=""),"",IF(G59&lt;Settings!$B$4,"Too young",IF(G59&lt;=Settings!$B$5,"Yes","Too old")))</f>
        <v>Yes</v>
      </c>
      <c r="J59" s="13" t="s">
        <v>81</v>
      </c>
      <c r="K59" s="13"/>
      <c r="L59" s="7"/>
      <c r="M59" s="7"/>
    </row>
    <row r="60" customFormat="false" ht="15" hidden="false" customHeight="true" outlineLevel="0" collapsed="false">
      <c r="A60" s="7" t="s">
        <v>202</v>
      </c>
      <c r="B60" s="7" t="s">
        <v>72</v>
      </c>
      <c r="C60" s="7" t="s">
        <v>188</v>
      </c>
      <c r="D60" s="7" t="s">
        <v>36</v>
      </c>
      <c r="E60" s="7" t="n">
        <v>2</v>
      </c>
      <c r="F60" s="8" t="n">
        <v>46104</v>
      </c>
      <c r="G60" s="9" t="n">
        <f aca="true">IF(F60="","",TODAY()-F60)</f>
        <v>217</v>
      </c>
      <c r="H60" s="9" t="n">
        <f aca="false">IF(G60="","",ROUND(G60/30.44,1))</f>
        <v>7.1</v>
      </c>
      <c r="I60" s="10" t="str">
        <f aca="false">IF(OR(F60="",D60="TP",D60=""),"",IF(G60&lt;Settings!$B$4,"Too young",IF(G60&lt;=Settings!$B$5,"Yes","Too old")))</f>
        <v>Too old</v>
      </c>
      <c r="J60" s="7"/>
      <c r="K60" s="7"/>
      <c r="L60" s="7"/>
      <c r="M60" s="7"/>
    </row>
    <row r="61" customFormat="false" ht="15" hidden="false" customHeight="true" outlineLevel="0" collapsed="false">
      <c r="A61" s="7" t="s">
        <v>78</v>
      </c>
      <c r="B61" s="7" t="s">
        <v>77</v>
      </c>
      <c r="C61" s="7" t="s">
        <v>77</v>
      </c>
      <c r="D61" s="7" t="s">
        <v>137</v>
      </c>
      <c r="E61" s="7" t="n">
        <v>2</v>
      </c>
      <c r="F61" s="8"/>
      <c r="G61" s="9" t="str">
        <f aca="true">IF(F61="","",TODAY()-F61)</f>
        <v/>
      </c>
      <c r="H61" s="9" t="str">
        <f aca="false">IF(G61="","",ROUND(G61/30.44,1))</f>
        <v/>
      </c>
      <c r="I61" s="10" t="str">
        <f aca="false">IF(OR(F61="",D61="TP",D61=""),"",IF(G61&lt;Settings!$B$4,"Too young",IF(G61&lt;=Settings!$B$5,"Yes","Too old")))</f>
        <v/>
      </c>
      <c r="J61" s="7"/>
      <c r="K61" s="7"/>
      <c r="L61" s="7" t="s">
        <v>138</v>
      </c>
      <c r="M61" s="7"/>
    </row>
    <row r="62" customFormat="false" ht="15" hidden="false" customHeight="true" outlineLevel="0" collapsed="false">
      <c r="A62" s="7" t="s">
        <v>203</v>
      </c>
      <c r="B62" s="7" t="s">
        <v>77</v>
      </c>
      <c r="C62" s="7" t="s">
        <v>77</v>
      </c>
      <c r="D62" s="7" t="s">
        <v>36</v>
      </c>
      <c r="E62" s="7" t="n">
        <v>4</v>
      </c>
      <c r="F62" s="8" t="n">
        <v>46245</v>
      </c>
      <c r="G62" s="9" t="n">
        <f aca="true">IF(F62="","",TODAY()-F62)</f>
        <v>76</v>
      </c>
      <c r="H62" s="9" t="n">
        <f aca="false">IF(G62="","",ROUND(G62/30.44,1))</f>
        <v>2.5</v>
      </c>
      <c r="I62" s="10" t="str">
        <f aca="false">IF(OR(F62="",D62="TP",D62=""),"",IF(G62&lt;Settings!$B$4,"Too young",IF(G62&lt;=Settings!$B$5,"Yes","Too old")))</f>
        <v>Yes</v>
      </c>
      <c r="J62" s="7"/>
      <c r="K62" s="7"/>
      <c r="L62" s="7"/>
      <c r="M62" s="7"/>
    </row>
    <row r="63" customFormat="false" ht="15" hidden="false" customHeight="true" outlineLevel="0" collapsed="false">
      <c r="A63" s="7" t="s">
        <v>83</v>
      </c>
      <c r="B63" s="7" t="s">
        <v>82</v>
      </c>
      <c r="C63" s="7" t="s">
        <v>154</v>
      </c>
      <c r="D63" s="7" t="s">
        <v>137</v>
      </c>
      <c r="E63" s="7" t="n">
        <v>3</v>
      </c>
      <c r="F63" s="8"/>
      <c r="G63" s="9" t="str">
        <f aca="true">IF(F63="","",TODAY()-F63)</f>
        <v/>
      </c>
      <c r="H63" s="9" t="str">
        <f aca="false">IF(G63="","",ROUND(G63/30.44,1))</f>
        <v/>
      </c>
      <c r="I63" s="10" t="str">
        <f aca="false">IF(OR(F63="",D63="TP",D63=""),"",IF(G63&lt;Settings!$B$4,"Too young",IF(G63&lt;=Settings!$B$5,"Yes","Too old")))</f>
        <v/>
      </c>
      <c r="J63" s="7"/>
      <c r="K63" s="7"/>
      <c r="L63" s="7" t="s">
        <v>204</v>
      </c>
      <c r="M63" s="7"/>
    </row>
    <row r="64" customFormat="false" ht="15" hidden="false" customHeight="true" outlineLevel="0" collapsed="false">
      <c r="A64" s="7" t="s">
        <v>90</v>
      </c>
      <c r="B64" s="7" t="s">
        <v>89</v>
      </c>
      <c r="C64" s="7" t="s">
        <v>152</v>
      </c>
      <c r="D64" s="7" t="s">
        <v>137</v>
      </c>
      <c r="E64" s="7" t="n">
        <v>2</v>
      </c>
      <c r="F64" s="8"/>
      <c r="G64" s="9" t="str">
        <f aca="true">IF(F64="","",TODAY()-F64)</f>
        <v/>
      </c>
      <c r="H64" s="9" t="str">
        <f aca="false">IF(G64="","",ROUND(G64/30.44,1))</f>
        <v/>
      </c>
      <c r="I64" s="10" t="str">
        <f aca="false">IF(OR(F64="",D64="TP",D64=""),"",IF(G64&lt;Settings!$B$4,"Too young",IF(G64&lt;=Settings!$B$5,"Yes","Too old")))</f>
        <v/>
      </c>
      <c r="J64" s="7"/>
      <c r="K64" s="7"/>
      <c r="L64" s="7" t="s">
        <v>138</v>
      </c>
      <c r="M64" s="7"/>
    </row>
    <row r="65" customFormat="false" ht="15" hidden="false" customHeight="true" outlineLevel="0" collapsed="false">
      <c r="A65" s="7" t="s">
        <v>205</v>
      </c>
      <c r="B65" s="7" t="s">
        <v>77</v>
      </c>
      <c r="C65" s="7" t="s">
        <v>77</v>
      </c>
      <c r="D65" s="7" t="s">
        <v>36</v>
      </c>
      <c r="E65" s="7" t="n">
        <v>3</v>
      </c>
      <c r="F65" s="8" t="n">
        <v>46001</v>
      </c>
      <c r="G65" s="9" t="n">
        <f aca="true">IF(F65="","",TODAY()-F65)</f>
        <v>320</v>
      </c>
      <c r="H65" s="9" t="n">
        <f aca="false">IF(G65="","",ROUND(G65/30.44,1))</f>
        <v>10.5</v>
      </c>
      <c r="I65" s="10" t="str">
        <f aca="false">IF(OR(F65="",D65="TP",D65=""),"",IF(G65&lt;Settings!$B$4,"Too young",IF(G65&lt;=Settings!$B$5,"Yes","Too old")))</f>
        <v>Too old</v>
      </c>
      <c r="J65" s="7"/>
      <c r="K65" s="7"/>
      <c r="L65" s="7" t="s">
        <v>145</v>
      </c>
      <c r="M65" s="7"/>
    </row>
    <row r="66" customFormat="false" ht="15" hidden="false" customHeight="true" outlineLevel="0" collapsed="false">
      <c r="A66" s="7" t="s">
        <v>94</v>
      </c>
      <c r="B66" s="7" t="s">
        <v>35</v>
      </c>
      <c r="C66" s="7" t="s">
        <v>136</v>
      </c>
      <c r="D66" s="7" t="s">
        <v>137</v>
      </c>
      <c r="E66" s="7" t="n">
        <v>2</v>
      </c>
      <c r="F66" s="8"/>
      <c r="G66" s="9" t="str">
        <f aca="true">IF(F66="","",TODAY()-F66)</f>
        <v/>
      </c>
      <c r="H66" s="9" t="str">
        <f aca="false">IF(G66="","",ROUND(G66/30.44,1))</f>
        <v/>
      </c>
      <c r="I66" s="10" t="str">
        <f aca="false">IF(OR(F66="",D66="TP",D66=""),"",IF(G66&lt;Settings!$B$4,"Too young",IF(G66&lt;=Settings!$B$5,"Yes","Too old")))</f>
        <v/>
      </c>
      <c r="J66" s="7"/>
      <c r="K66" s="7"/>
      <c r="L66" s="7" t="s">
        <v>204</v>
      </c>
      <c r="M66" s="7"/>
    </row>
    <row r="67" customFormat="false" ht="15" hidden="false" customHeight="true" outlineLevel="0" collapsed="false">
      <c r="A67" s="7" t="s">
        <v>206</v>
      </c>
      <c r="B67" s="7" t="s">
        <v>82</v>
      </c>
      <c r="C67" s="7" t="s">
        <v>154</v>
      </c>
      <c r="D67" s="7" t="s">
        <v>41</v>
      </c>
      <c r="E67" s="7" t="n">
        <v>1</v>
      </c>
      <c r="F67" s="8" t="n">
        <v>46225</v>
      </c>
      <c r="G67" s="9" t="n">
        <f aca="true">IF(F67="","",TODAY()-F67)</f>
        <v>96</v>
      </c>
      <c r="H67" s="9" t="n">
        <f aca="false">IF(G67="","",ROUND(G67/30.44,1))</f>
        <v>3.2</v>
      </c>
      <c r="I67" s="10" t="str">
        <f aca="false">IF(OR(F67="",D67="TP",D67=""),"",IF(G67&lt;Settings!$B$4,"Too young",IF(G67&lt;=Settings!$B$5,"Yes","Too old")))</f>
        <v>Yes</v>
      </c>
      <c r="J67" s="7"/>
      <c r="K67" s="7"/>
      <c r="L67" s="7" t="s">
        <v>207</v>
      </c>
      <c r="M67" s="7"/>
    </row>
    <row r="68" customFormat="false" ht="15" hidden="false" customHeight="true" outlineLevel="0" collapsed="false">
      <c r="A68" s="7" t="s">
        <v>99</v>
      </c>
      <c r="B68" s="7" t="s">
        <v>98</v>
      </c>
      <c r="C68" s="7" t="s">
        <v>167</v>
      </c>
      <c r="D68" s="7" t="s">
        <v>137</v>
      </c>
      <c r="E68" s="7" t="n">
        <v>2</v>
      </c>
      <c r="F68" s="8"/>
      <c r="G68" s="9" t="str">
        <f aca="true">IF(F68="","",TODAY()-F68)</f>
        <v/>
      </c>
      <c r="H68" s="9" t="str">
        <f aca="false">IF(G68="","",ROUND(G68/30.44,1))</f>
        <v/>
      </c>
      <c r="I68" s="10" t="str">
        <f aca="false">IF(OR(F68="",D68="TP",D68=""),"",IF(G68&lt;Settings!$B$4,"Too young",IF(G68&lt;=Settings!$B$5,"Yes","Too old")))</f>
        <v/>
      </c>
      <c r="J68" s="7"/>
      <c r="K68" s="7"/>
      <c r="L68" s="7" t="s">
        <v>138</v>
      </c>
      <c r="M68" s="7"/>
    </row>
    <row r="69" customFormat="false" ht="15" hidden="false" customHeight="true" outlineLevel="0" collapsed="false">
      <c r="A69" s="7" t="s">
        <v>208</v>
      </c>
      <c r="B69" s="7" t="s">
        <v>47</v>
      </c>
      <c r="C69" s="7" t="s">
        <v>142</v>
      </c>
      <c r="D69" s="7" t="s">
        <v>36</v>
      </c>
      <c r="E69" s="7" t="n">
        <v>1</v>
      </c>
      <c r="F69" s="8" t="n">
        <v>46229</v>
      </c>
      <c r="G69" s="9" t="n">
        <f aca="true">IF(F69="","",TODAY()-F69)</f>
        <v>92</v>
      </c>
      <c r="H69" s="9" t="n">
        <f aca="false">IF(G69="","",ROUND(G69/30.44,1))</f>
        <v>3</v>
      </c>
      <c r="I69" s="10" t="str">
        <f aca="false">IF(OR(F69="",D69="TP",D69=""),"",IF(G69&lt;Settings!$B$4,"Too young",IF(G69&lt;=Settings!$B$5,"Yes","Too old")))</f>
        <v>Yes</v>
      </c>
      <c r="J69" s="13" t="s">
        <v>102</v>
      </c>
      <c r="K69" s="13" t="s">
        <v>105</v>
      </c>
      <c r="L69" s="7"/>
      <c r="M69" s="7"/>
    </row>
    <row r="70" customFormat="false" ht="15" hidden="false" customHeight="true" outlineLevel="0" collapsed="false">
      <c r="A70" s="7" t="s">
        <v>103</v>
      </c>
      <c r="B70" s="7" t="s">
        <v>47</v>
      </c>
      <c r="C70" s="7" t="s">
        <v>142</v>
      </c>
      <c r="D70" s="7" t="s">
        <v>137</v>
      </c>
      <c r="E70" s="7" t="n">
        <v>2</v>
      </c>
      <c r="F70" s="8"/>
      <c r="G70" s="9" t="str">
        <f aca="true">IF(F70="","",TODAY()-F70)</f>
        <v/>
      </c>
      <c r="H70" s="9" t="str">
        <f aca="false">IF(G70="","",ROUND(G70/30.44,1))</f>
        <v/>
      </c>
      <c r="I70" s="10" t="str">
        <f aca="false">IF(OR(F70="",D70="TP",D70=""),"",IF(G70&lt;Settings!$B$4,"Too young",IF(G70&lt;=Settings!$B$5,"Yes","Too old")))</f>
        <v/>
      </c>
      <c r="J70" s="7"/>
      <c r="K70" s="7"/>
      <c r="L70" s="7" t="s">
        <v>138</v>
      </c>
      <c r="M70" s="7"/>
    </row>
    <row r="71" customFormat="false" ht="15" hidden="false" customHeight="true" outlineLevel="0" collapsed="false">
      <c r="A71" s="7" t="s">
        <v>209</v>
      </c>
      <c r="B71" s="7" t="s">
        <v>47</v>
      </c>
      <c r="C71" s="7" t="s">
        <v>142</v>
      </c>
      <c r="D71" s="7" t="s">
        <v>41</v>
      </c>
      <c r="E71" s="7" t="n">
        <v>1</v>
      </c>
      <c r="F71" s="8" t="n">
        <v>46229</v>
      </c>
      <c r="G71" s="9" t="n">
        <f aca="true">IF(F71="","",TODAY()-F71)</f>
        <v>92</v>
      </c>
      <c r="H71" s="9" t="n">
        <f aca="false">IF(G71="","",ROUND(G71/30.44,1))</f>
        <v>3</v>
      </c>
      <c r="I71" s="10" t="str">
        <f aca="false">IF(OR(F71="",D71="TP",D71=""),"",IF(G71&lt;Settings!$B$4,"Too young",IF(G71&lt;=Settings!$B$5,"Yes","Too old")))</f>
        <v>Yes</v>
      </c>
      <c r="J71" s="13" t="s">
        <v>102</v>
      </c>
      <c r="K71" s="13" t="s">
        <v>105</v>
      </c>
      <c r="L71" s="7"/>
      <c r="M71" s="7"/>
    </row>
    <row r="72" customFormat="false" ht="15" hidden="false" customHeight="true" outlineLevel="0" collapsed="false">
      <c r="A72" s="7" t="s">
        <v>210</v>
      </c>
      <c r="B72" s="7" t="s">
        <v>47</v>
      </c>
      <c r="C72" s="7" t="s">
        <v>142</v>
      </c>
      <c r="D72" s="7" t="s">
        <v>41</v>
      </c>
      <c r="E72" s="7" t="n">
        <v>3</v>
      </c>
      <c r="F72" s="8" t="n">
        <v>46272</v>
      </c>
      <c r="G72" s="9" t="n">
        <f aca="true">IF(F72="","",TODAY()-F72)</f>
        <v>49</v>
      </c>
      <c r="H72" s="9" t="n">
        <f aca="false">IF(G72="","",ROUND(G72/30.44,1))</f>
        <v>1.6</v>
      </c>
      <c r="I72" s="10" t="str">
        <f aca="false">IF(OR(F72="",D72="TP",D72=""),"",IF(G72&lt;Settings!$B$4,"Too young",IF(G72&lt;=Settings!$B$5,"Yes","Too old")))</f>
        <v>Yes</v>
      </c>
      <c r="J72" s="13" t="s">
        <v>102</v>
      </c>
      <c r="K72" s="13" t="s">
        <v>105</v>
      </c>
      <c r="L72" s="7"/>
      <c r="M72" s="7"/>
    </row>
    <row r="73" customFormat="false" ht="15" hidden="false" customHeight="true" outlineLevel="0" collapsed="false">
      <c r="A73" s="7" t="s">
        <v>211</v>
      </c>
      <c r="B73" s="7" t="s">
        <v>89</v>
      </c>
      <c r="C73" s="7" t="s">
        <v>152</v>
      </c>
      <c r="D73" s="7" t="s">
        <v>36</v>
      </c>
      <c r="E73" s="7" t="n">
        <v>3</v>
      </c>
      <c r="F73" s="8" t="n">
        <v>46229</v>
      </c>
      <c r="G73" s="9" t="n">
        <f aca="true">IF(F73="","",TODAY()-F73)</f>
        <v>92</v>
      </c>
      <c r="H73" s="9" t="n">
        <f aca="false">IF(G73="","",ROUND(G73/30.44,1))</f>
        <v>3</v>
      </c>
      <c r="I73" s="10" t="str">
        <f aca="false">IF(OR(F73="",D73="TP",D73=""),"",IF(G73&lt;Settings!$B$4,"Too young",IF(G73&lt;=Settings!$B$5,"Yes","Too old")))</f>
        <v>Yes</v>
      </c>
      <c r="J73" s="13" t="s">
        <v>88</v>
      </c>
      <c r="K73" s="13" t="s">
        <v>92</v>
      </c>
      <c r="L73" s="7"/>
      <c r="M73" s="7"/>
      <c r="N73" s="12" t="s">
        <v>53</v>
      </c>
    </row>
    <row r="74" customFormat="false" ht="15" hidden="false" customHeight="true" outlineLevel="0" collapsed="false">
      <c r="A74" s="7" t="s">
        <v>212</v>
      </c>
      <c r="B74" s="7" t="s">
        <v>67</v>
      </c>
      <c r="C74" s="7" t="s">
        <v>189</v>
      </c>
      <c r="D74" s="7" t="s">
        <v>36</v>
      </c>
      <c r="E74" s="7" t="n">
        <v>3</v>
      </c>
      <c r="F74" s="8" t="n">
        <v>46010</v>
      </c>
      <c r="G74" s="9" t="n">
        <f aca="true">IF(F74="","",TODAY()-F74)</f>
        <v>311</v>
      </c>
      <c r="H74" s="9" t="n">
        <f aca="false">IF(G74="","",ROUND(G74/30.44,1))</f>
        <v>10.2</v>
      </c>
      <c r="I74" s="10" t="str">
        <f aca="false">IF(OR(F74="",D74="TP",D74=""),"",IF(G74&lt;Settings!$B$4,"Too young",IF(G74&lt;=Settings!$B$5,"Yes","Too old")))</f>
        <v>Too old</v>
      </c>
      <c r="J74" s="7"/>
      <c r="K74" s="7"/>
      <c r="L74" s="7"/>
      <c r="M74" s="7"/>
    </row>
    <row r="75" customFormat="false" ht="15" hidden="false" customHeight="true" outlineLevel="0" collapsed="false">
      <c r="A75" s="7" t="s">
        <v>213</v>
      </c>
      <c r="B75" s="7" t="s">
        <v>89</v>
      </c>
      <c r="C75" s="7" t="s">
        <v>152</v>
      </c>
      <c r="D75" s="7" t="s">
        <v>41</v>
      </c>
      <c r="E75" s="7" t="n">
        <v>5</v>
      </c>
      <c r="F75" s="8" t="n">
        <v>46022</v>
      </c>
      <c r="G75" s="9" t="n">
        <f aca="true">IF(F75="","",TODAY()-F75)</f>
        <v>299</v>
      </c>
      <c r="H75" s="9" t="n">
        <f aca="false">IF(G75="","",ROUND(G75/30.44,1))</f>
        <v>9.8</v>
      </c>
      <c r="I75" s="10" t="str">
        <f aca="false">IF(OR(F75="",D75="TP",D75=""),"",IF(G75&lt;Settings!$B$4,"Too young",IF(G75&lt;=Settings!$B$5,"Yes","Too old")))</f>
        <v>Too old</v>
      </c>
      <c r="J75" s="7"/>
      <c r="K75" s="7"/>
      <c r="L75" s="7"/>
      <c r="M75" s="7"/>
      <c r="N75" s="12" t="s">
        <v>53</v>
      </c>
    </row>
    <row r="76" customFormat="false" ht="15" hidden="false" customHeight="true" outlineLevel="0" collapsed="false">
      <c r="A76" s="7" t="s">
        <v>214</v>
      </c>
      <c r="B76" s="7" t="s">
        <v>72</v>
      </c>
      <c r="C76" s="7" t="s">
        <v>188</v>
      </c>
      <c r="D76" s="7" t="s">
        <v>41</v>
      </c>
      <c r="E76" s="7" t="n">
        <v>1</v>
      </c>
      <c r="F76" s="8" t="n">
        <v>45944</v>
      </c>
      <c r="G76" s="9" t="n">
        <f aca="true">IF(F76="","",TODAY()-F76)</f>
        <v>377</v>
      </c>
      <c r="H76" s="9" t="n">
        <f aca="false">IF(G76="","",ROUND(G76/30.44,1))</f>
        <v>12.4</v>
      </c>
      <c r="I76" s="10" t="str">
        <f aca="false">IF(OR(F76="",D76="TP",D76=""),"",IF(G76&lt;Settings!$B$4,"Too young",IF(G76&lt;=Settings!$B$5,"Yes","Too old")))</f>
        <v>Too old</v>
      </c>
      <c r="J76" s="7"/>
      <c r="K76" s="7"/>
      <c r="L76" s="7" t="s">
        <v>215</v>
      </c>
      <c r="M76" s="7"/>
    </row>
    <row r="77" customFormat="false" ht="15" hidden="false" customHeight="true" outlineLevel="0" collapsed="false">
      <c r="A77" s="7" t="s">
        <v>216</v>
      </c>
      <c r="B77" s="7" t="s">
        <v>35</v>
      </c>
      <c r="C77" s="7" t="s">
        <v>136</v>
      </c>
      <c r="D77" s="7" t="s">
        <v>41</v>
      </c>
      <c r="E77" s="7" t="n">
        <v>2</v>
      </c>
      <c r="F77" s="8" t="n">
        <v>45814</v>
      </c>
      <c r="G77" s="9" t="n">
        <f aca="true">IF(F77="","",TODAY()-F77)</f>
        <v>507</v>
      </c>
      <c r="H77" s="9" t="n">
        <f aca="false">IF(G77="","",ROUND(G77/30.44,1))</f>
        <v>16.7</v>
      </c>
      <c r="I77" s="10" t="str">
        <f aca="false">IF(OR(F77="",D77="TP",D77=""),"",IF(G77&lt;Settings!$B$4,"Too young",IF(G77&lt;=Settings!$B$5,"Yes","Too old")))</f>
        <v>Too old</v>
      </c>
      <c r="J77" s="7"/>
      <c r="K77" s="7"/>
      <c r="L77" s="7" t="s">
        <v>217</v>
      </c>
      <c r="M77" s="7"/>
    </row>
    <row r="78" customFormat="false" ht="15" hidden="false" customHeight="true" outlineLevel="0" collapsed="false">
      <c r="A78" s="7" t="s">
        <v>108</v>
      </c>
      <c r="B78" s="7" t="s">
        <v>89</v>
      </c>
      <c r="C78" s="7" t="s">
        <v>152</v>
      </c>
      <c r="D78" s="7" t="s">
        <v>137</v>
      </c>
      <c r="E78" s="7" t="n">
        <v>2</v>
      </c>
      <c r="F78" s="8"/>
      <c r="G78" s="9" t="str">
        <f aca="true">IF(F78="","",TODAY()-F78)</f>
        <v/>
      </c>
      <c r="H78" s="9" t="str">
        <f aca="false">IF(G78="","",ROUND(G78/30.44,1))</f>
        <v/>
      </c>
      <c r="I78" s="10" t="str">
        <f aca="false">IF(OR(F78="",D78="TP",D78=""),"",IF(G78&lt;Settings!$B$4,"Too young",IF(G78&lt;=Settings!$B$5,"Yes","Too old")))</f>
        <v/>
      </c>
      <c r="J78" s="7"/>
      <c r="K78" s="7"/>
      <c r="L78" s="7" t="s">
        <v>138</v>
      </c>
      <c r="M78" s="7"/>
    </row>
    <row r="79" customFormat="false" ht="15" hidden="false" customHeight="true" outlineLevel="0" collapsed="false">
      <c r="A79" s="7" t="s">
        <v>218</v>
      </c>
      <c r="B79" s="7" t="s">
        <v>77</v>
      </c>
      <c r="C79" s="7" t="s">
        <v>77</v>
      </c>
      <c r="D79" s="7" t="s">
        <v>36</v>
      </c>
      <c r="E79" s="7" t="n">
        <v>3</v>
      </c>
      <c r="F79" s="8" t="n">
        <v>46069</v>
      </c>
      <c r="G79" s="9" t="n">
        <f aca="true">IF(F79="","",TODAY()-F79)</f>
        <v>252</v>
      </c>
      <c r="H79" s="9" t="n">
        <f aca="false">IF(G79="","",ROUND(G79/30.44,1))</f>
        <v>8.3</v>
      </c>
      <c r="I79" s="10" t="str">
        <f aca="false">IF(OR(F79="",D79="TP",D79=""),"",IF(G79&lt;Settings!$B$4,"Too young",IF(G79&lt;=Settings!$B$5,"Yes","Too old")))</f>
        <v>Too old</v>
      </c>
      <c r="J79" s="7"/>
      <c r="K79" s="7"/>
      <c r="L79" s="7"/>
      <c r="M79" s="7"/>
    </row>
    <row r="80" customFormat="false" ht="15" hidden="false" customHeight="true" outlineLevel="0" collapsed="false">
      <c r="A80" s="7" t="s">
        <v>219</v>
      </c>
      <c r="B80" s="7" t="s">
        <v>82</v>
      </c>
      <c r="C80" s="7" t="s">
        <v>154</v>
      </c>
      <c r="D80" s="7" t="s">
        <v>41</v>
      </c>
      <c r="E80" s="7" t="n">
        <v>1</v>
      </c>
      <c r="F80" s="8" t="n">
        <v>46180</v>
      </c>
      <c r="G80" s="9" t="n">
        <f aca="true">IF(F80="","",TODAY()-F80)</f>
        <v>141</v>
      </c>
      <c r="H80" s="9" t="n">
        <f aca="false">IF(G80="","",ROUND(G80/30.44,1))</f>
        <v>4.6</v>
      </c>
      <c r="I80" s="10" t="str">
        <f aca="false">IF(OR(F80="",D80="TP",D80=""),"",IF(G80&lt;Settings!$B$4,"Too young",IF(G80&lt;=Settings!$B$5,"Yes","Too old")))</f>
        <v>Yes</v>
      </c>
      <c r="J80" s="7"/>
      <c r="K80" s="7"/>
      <c r="L80" s="7"/>
      <c r="M80" s="7"/>
    </row>
    <row r="81" customFormat="false" ht="15" hidden="false" customHeight="true" outlineLevel="0" collapsed="false">
      <c r="A81" s="7" t="s">
        <v>220</v>
      </c>
      <c r="B81" s="7" t="s">
        <v>89</v>
      </c>
      <c r="C81" s="7" t="s">
        <v>152</v>
      </c>
      <c r="D81" s="7" t="s">
        <v>36</v>
      </c>
      <c r="E81" s="7" t="n">
        <v>3</v>
      </c>
      <c r="F81" s="8" t="n">
        <v>45959</v>
      </c>
      <c r="G81" s="9" t="n">
        <f aca="true">IF(F81="","",TODAY()-F81)</f>
        <v>362</v>
      </c>
      <c r="H81" s="9" t="n">
        <f aca="false">IF(G81="","",ROUND(G81/30.44,1))</f>
        <v>11.9</v>
      </c>
      <c r="I81" s="10" t="str">
        <f aca="false">IF(OR(F81="",D81="TP",D81=""),"",IF(G81&lt;Settings!$B$4,"Too young",IF(G81&lt;=Settings!$B$5,"Yes","Too old")))</f>
        <v>Too old</v>
      </c>
      <c r="J81" s="7"/>
      <c r="K81" s="7"/>
      <c r="L81" s="7"/>
      <c r="M81" s="7"/>
      <c r="N81" s="12" t="s">
        <v>53</v>
      </c>
    </row>
    <row r="82" customFormat="false" ht="15" hidden="false" customHeight="true" outlineLevel="0" collapsed="false">
      <c r="A82" s="7" t="s">
        <v>221</v>
      </c>
      <c r="B82" s="7" t="s">
        <v>47</v>
      </c>
      <c r="C82" s="7" t="s">
        <v>142</v>
      </c>
      <c r="D82" s="7" t="s">
        <v>36</v>
      </c>
      <c r="E82" s="7" t="n">
        <v>3</v>
      </c>
      <c r="F82" s="8" t="n">
        <v>46272</v>
      </c>
      <c r="G82" s="9" t="n">
        <f aca="true">IF(F82="","",TODAY()-F82)</f>
        <v>49</v>
      </c>
      <c r="H82" s="9" t="n">
        <f aca="false">IF(G82="","",ROUND(G82/30.44,1))</f>
        <v>1.6</v>
      </c>
      <c r="I82" s="10" t="str">
        <f aca="false">IF(OR(F82="",D82="TP",D82=""),"",IF(G82&lt;Settings!$B$4,"Too young",IF(G82&lt;=Settings!$B$5,"Yes","Too old")))</f>
        <v>Yes</v>
      </c>
      <c r="J82" s="13" t="s">
        <v>102</v>
      </c>
      <c r="K82" s="13" t="s">
        <v>105</v>
      </c>
      <c r="L82" s="7"/>
      <c r="M82" s="7"/>
    </row>
    <row r="83" customFormat="false" ht="15" hidden="false" customHeight="true" outlineLevel="0" collapsed="false">
      <c r="A83" s="7" t="s">
        <v>222</v>
      </c>
      <c r="B83" s="7" t="s">
        <v>47</v>
      </c>
      <c r="C83" s="7" t="s">
        <v>142</v>
      </c>
      <c r="D83" s="7" t="s">
        <v>36</v>
      </c>
      <c r="E83" s="7" t="n">
        <v>3</v>
      </c>
      <c r="F83" s="8" t="n">
        <v>46272</v>
      </c>
      <c r="G83" s="9" t="n">
        <f aca="true">IF(F83="","",TODAY()-F83)</f>
        <v>49</v>
      </c>
      <c r="H83" s="9" t="n">
        <f aca="false">IF(G83="","",ROUND(G83/30.44,1))</f>
        <v>1.6</v>
      </c>
      <c r="I83" s="10" t="str">
        <f aca="false">IF(OR(F83="",D83="TP",D83=""),"",IF(G83&lt;Settings!$B$4,"Too young",IF(G83&lt;=Settings!$B$5,"Yes","Too old")))</f>
        <v>Yes</v>
      </c>
      <c r="J83" s="13" t="s">
        <v>102</v>
      </c>
      <c r="K83" s="13" t="s">
        <v>105</v>
      </c>
      <c r="L83" s="7"/>
      <c r="M83" s="7"/>
    </row>
    <row r="84" customFormat="false" ht="15" hidden="false" customHeight="true" outlineLevel="0" collapsed="false">
      <c r="A84" s="7" t="s">
        <v>223</v>
      </c>
      <c r="B84" s="7" t="s">
        <v>67</v>
      </c>
      <c r="C84" s="7" t="s">
        <v>189</v>
      </c>
      <c r="D84" s="7" t="s">
        <v>41</v>
      </c>
      <c r="E84" s="7" t="n">
        <v>3</v>
      </c>
      <c r="F84" s="8" t="n">
        <v>46076</v>
      </c>
      <c r="G84" s="9" t="n">
        <f aca="true">IF(F84="","",TODAY()-F84)</f>
        <v>245</v>
      </c>
      <c r="H84" s="9" t="n">
        <f aca="false">IF(G84="","",ROUND(G84/30.44,1))</f>
        <v>8</v>
      </c>
      <c r="I84" s="10" t="str">
        <f aca="false">IF(OR(F84="",D84="TP",D84=""),"",IF(G84&lt;Settings!$B$4,"Too young",IF(G84&lt;=Settings!$B$5,"Yes","Too old")))</f>
        <v>Too old</v>
      </c>
      <c r="J84" s="7"/>
      <c r="K84" s="7"/>
      <c r="L84" s="7"/>
      <c r="M84" s="7"/>
    </row>
    <row r="85" customFormat="false" ht="15" hidden="false" customHeight="true" outlineLevel="0" collapsed="false">
      <c r="A85" s="7" t="s">
        <v>224</v>
      </c>
      <c r="B85" s="7"/>
      <c r="C85" s="7"/>
      <c r="D85" s="7"/>
      <c r="E85" s="7"/>
      <c r="F85" s="8"/>
      <c r="G85" s="9" t="str">
        <f aca="true">IF(F85="","",TODAY()-F85)</f>
        <v/>
      </c>
      <c r="H85" s="9" t="str">
        <f aca="false">IF(G85="","",ROUND(G85/30.44,1))</f>
        <v/>
      </c>
      <c r="I85" s="10" t="str">
        <f aca="false">IF(OR(F85="",D85="TP",D85=""),"",IF(G85&lt;Settings!$B$4,"Too young",IF(G85&lt;=Settings!$B$5,"Yes","Too old")))</f>
        <v/>
      </c>
      <c r="J85" s="7"/>
      <c r="K85" s="7"/>
      <c r="L85" s="7"/>
      <c r="M85" s="7"/>
    </row>
    <row r="86" customFormat="false" ht="15" hidden="false" customHeight="true" outlineLevel="0" collapsed="false">
      <c r="A86" s="7" t="s">
        <v>225</v>
      </c>
      <c r="B86" s="7" t="s">
        <v>82</v>
      </c>
      <c r="C86" s="7" t="s">
        <v>154</v>
      </c>
      <c r="D86" s="7" t="s">
        <v>36</v>
      </c>
      <c r="E86" s="7" t="n">
        <v>2</v>
      </c>
      <c r="F86" s="8" t="n">
        <v>45935</v>
      </c>
      <c r="G86" s="9" t="n">
        <f aca="true">IF(F86="","",TODAY()-F86)</f>
        <v>386</v>
      </c>
      <c r="H86" s="9" t="n">
        <f aca="false">IF(G86="","",ROUND(G86/30.44,1))</f>
        <v>12.7</v>
      </c>
      <c r="I86" s="10" t="str">
        <f aca="false">IF(OR(F86="",D86="TP",D86=""),"",IF(G86&lt;Settings!$B$4,"Too young",IF(G86&lt;=Settings!$B$5,"Yes","Too old")))</f>
        <v>Too old</v>
      </c>
      <c r="J86" s="7"/>
      <c r="K86" s="7"/>
      <c r="L86" s="7" t="s">
        <v>217</v>
      </c>
      <c r="M86" s="7"/>
    </row>
    <row r="87" customFormat="false" ht="15" hidden="false" customHeight="true" outlineLevel="0" collapsed="false">
      <c r="A87" s="7" t="s">
        <v>226</v>
      </c>
      <c r="B87" s="7" t="s">
        <v>82</v>
      </c>
      <c r="C87" s="7" t="s">
        <v>154</v>
      </c>
      <c r="D87" s="7" t="s">
        <v>41</v>
      </c>
      <c r="E87" s="7" t="n">
        <v>4</v>
      </c>
      <c r="F87" s="8" t="n">
        <v>45935</v>
      </c>
      <c r="G87" s="9" t="n">
        <f aca="true">IF(F87="","",TODAY()-F87)</f>
        <v>386</v>
      </c>
      <c r="H87" s="9" t="n">
        <f aca="false">IF(G87="","",ROUND(G87/30.44,1))</f>
        <v>12.7</v>
      </c>
      <c r="I87" s="10" t="str">
        <f aca="false">IF(OR(F87="",D87="TP",D87=""),"",IF(G87&lt;Settings!$B$4,"Too young",IF(G87&lt;=Settings!$B$5,"Yes","Too old")))</f>
        <v>Too old</v>
      </c>
      <c r="J87" s="7"/>
      <c r="K87" s="7"/>
      <c r="L87" s="7" t="s">
        <v>217</v>
      </c>
      <c r="M87" s="7"/>
    </row>
    <row r="88" customFormat="false" ht="15" hidden="false" customHeight="true" outlineLevel="0" collapsed="false">
      <c r="A88" s="7" t="s">
        <v>227</v>
      </c>
      <c r="B88" s="7" t="s">
        <v>82</v>
      </c>
      <c r="C88" s="7" t="s">
        <v>154</v>
      </c>
      <c r="D88" s="7" t="s">
        <v>36</v>
      </c>
      <c r="E88" s="7" t="n">
        <v>4</v>
      </c>
      <c r="F88" s="8" t="n">
        <v>46225</v>
      </c>
      <c r="G88" s="9" t="n">
        <f aca="true">IF(F88="","",TODAY()-F88)</f>
        <v>96</v>
      </c>
      <c r="H88" s="9" t="n">
        <f aca="false">IF(G88="","",ROUND(G88/30.44,1))</f>
        <v>3.2</v>
      </c>
      <c r="I88" s="10" t="str">
        <f aca="false">IF(OR(F88="",D88="TP",D88=""),"",IF(G88&lt;Settings!$B$4,"Too young",IF(G88&lt;=Settings!$B$5,"Yes","Too old")))</f>
        <v>Yes</v>
      </c>
      <c r="J88" s="7"/>
      <c r="K88" s="7"/>
      <c r="L88" s="7" t="s">
        <v>207</v>
      </c>
      <c r="M88" s="7"/>
    </row>
    <row r="89" customFormat="false" ht="15" hidden="false" customHeight="true" outlineLevel="0" collapsed="false">
      <c r="A89" s="7" t="s">
        <v>228</v>
      </c>
      <c r="B89" s="7"/>
      <c r="C89" s="7"/>
      <c r="D89" s="7"/>
      <c r="E89" s="7"/>
      <c r="F89" s="8"/>
      <c r="G89" s="9" t="str">
        <f aca="true">IF(F89="","",TODAY()-F89)</f>
        <v/>
      </c>
      <c r="H89" s="9" t="str">
        <f aca="false">IF(G89="","",ROUND(G89/30.44,1))</f>
        <v/>
      </c>
      <c r="I89" s="10" t="str">
        <f aca="false">IF(OR(F89="",D89="TP",D89=""),"",IF(G89&lt;Settings!$B$4,"Too young",IF(G89&lt;=Settings!$B$5,"Yes","Too old")))</f>
        <v/>
      </c>
      <c r="J89" s="7"/>
      <c r="K89" s="7"/>
      <c r="L89" s="7"/>
      <c r="M89" s="7"/>
    </row>
    <row r="90" customFormat="false" ht="15" hidden="false" customHeight="true" outlineLevel="0" collapsed="false">
      <c r="A90" s="7" t="s">
        <v>229</v>
      </c>
      <c r="B90" s="7"/>
      <c r="C90" s="7"/>
      <c r="D90" s="7"/>
      <c r="E90" s="7"/>
      <c r="F90" s="8"/>
      <c r="G90" s="9" t="str">
        <f aca="true">IF(F90="","",TODAY()-F90)</f>
        <v/>
      </c>
      <c r="H90" s="9" t="str">
        <f aca="false">IF(G90="","",ROUND(G90/30.44,1))</f>
        <v/>
      </c>
      <c r="I90" s="10" t="str">
        <f aca="false">IF(OR(F90="",D90="TP",D90=""),"",IF(G90&lt;Settings!$B$4,"Too young",IF(G90&lt;=Settings!$B$5,"Yes","Too old")))</f>
        <v/>
      </c>
      <c r="J90" s="7"/>
      <c r="K90" s="7"/>
      <c r="L90" s="7"/>
      <c r="M90" s="7"/>
    </row>
    <row r="91" customFormat="false" ht="15" hidden="false" customHeight="true" outlineLevel="0" collapsed="false">
      <c r="A91" s="7" t="s">
        <v>230</v>
      </c>
      <c r="B91" s="7"/>
      <c r="C91" s="7"/>
      <c r="D91" s="7"/>
      <c r="E91" s="7"/>
      <c r="F91" s="8"/>
      <c r="G91" s="9" t="str">
        <f aca="true">IF(F91="","",TODAY()-F91)</f>
        <v/>
      </c>
      <c r="H91" s="9" t="str">
        <f aca="false">IF(G91="","",ROUND(G91/30.44,1))</f>
        <v/>
      </c>
      <c r="I91" s="10" t="str">
        <f aca="false">IF(OR(F91="",D91="TP",D91=""),"",IF(G91&lt;Settings!$B$4,"Too young",IF(G91&lt;=Settings!$B$5,"Yes","Too old")))</f>
        <v/>
      </c>
      <c r="J91" s="7"/>
      <c r="K91" s="7"/>
      <c r="L91" s="7"/>
      <c r="M91" s="7"/>
    </row>
    <row r="92" customFormat="false" ht="15" hidden="false" customHeight="true" outlineLevel="0" collapsed="false">
      <c r="A92" s="7" t="s">
        <v>231</v>
      </c>
      <c r="B92" s="7"/>
      <c r="C92" s="7"/>
      <c r="D92" s="7"/>
      <c r="E92" s="7"/>
      <c r="F92" s="8"/>
      <c r="G92" s="9" t="str">
        <f aca="true">IF(F92="","",TODAY()-F92)</f>
        <v/>
      </c>
      <c r="H92" s="9" t="str">
        <f aca="false">IF(G92="","",ROUND(G92/30.44,1))</f>
        <v/>
      </c>
      <c r="I92" s="10" t="str">
        <f aca="false">IF(OR(F92="",D92="TP",D92=""),"",IF(G92&lt;Settings!$B$4,"Too young",IF(G92&lt;=Settings!$B$5,"Yes","Too old")))</f>
        <v/>
      </c>
      <c r="J92" s="7"/>
      <c r="K92" s="7"/>
      <c r="L92" s="7"/>
      <c r="M92" s="7"/>
    </row>
    <row r="93" customFormat="false" ht="15" hidden="false" customHeight="true" outlineLevel="0" collapsed="false">
      <c r="A93" s="7" t="s">
        <v>232</v>
      </c>
      <c r="B93" s="7"/>
      <c r="C93" s="7"/>
      <c r="D93" s="7"/>
      <c r="E93" s="7"/>
      <c r="F93" s="8"/>
      <c r="G93" s="9" t="str">
        <f aca="true">IF(F93="","",TODAY()-F93)</f>
        <v/>
      </c>
      <c r="H93" s="9" t="str">
        <f aca="false">IF(G93="","",ROUND(G93/30.44,1))</f>
        <v/>
      </c>
      <c r="I93" s="10" t="str">
        <f aca="false">IF(OR(F93="",D93="TP",D93=""),"",IF(G93&lt;Settings!$B$4,"Too young",IF(G93&lt;=Settings!$B$5,"Yes","Too old")))</f>
        <v/>
      </c>
      <c r="J93" s="7"/>
      <c r="K93" s="7"/>
      <c r="L93" s="7"/>
      <c r="M93" s="7"/>
    </row>
  </sheetData>
  <autoFilter ref="A1:N1000"/>
  <conditionalFormatting sqref="I2:I1000">
    <cfRule type="expression" priority="2" aboveAverage="0" equalAverage="0" bottom="0" percent="0" rank="0" text="" dxfId="16">
      <formula>I2="Yes"</formula>
    </cfRule>
    <cfRule type="expression" priority="3" aboveAverage="0" equalAverage="0" bottom="0" percent="0" rank="0" text="" dxfId="14">
      <formula>I2="Too young"</formula>
    </cfRule>
  </conditionalFormatting>
  <conditionalFormatting sqref="A2:M1000">
    <cfRule type="expression" priority="4" aboveAverage="0" equalAverage="0" bottom="0" percent="0" rank="0" text="" dxfId="21">
      <formula>$D2="TP"</formula>
    </cfRule>
  </conditionalFormatting>
  <conditionalFormatting sqref="L2:L1000">
    <cfRule type="expression" priority="5" aboveAverage="0" equalAverage="0" bottom="0" percent="0" rank="0" text="" dxfId="12">
      <formula>ISNUMBER(SEARCH("terminat",L2))</formula>
    </cfRule>
  </conditionalFormatting>
  <dataValidations count="3">
    <dataValidation allowBlank="true" errorStyle="stop" operator="between" showDropDown="false" showErrorMessage="true" showInputMessage="false" sqref="B2:B1000" type="list">
      <formula1>Lines!$A$2:$A$100</formula1>
      <formula2>0</formula2>
    </dataValidation>
    <dataValidation allowBlank="true" errorStyle="stop" operator="between" showDropDown="false" showErrorMessage="true" showInputMessage="false" sqref="D2:D1000" type="list">
      <formula1>"M,F,TP"</formula1>
      <formula2>0</formula2>
    </dataValidation>
    <dataValidation allowBlank="true" error="Sire/Dam must be an ID from the Breeders sheet" errorStyle="stop" operator="between" showDropDown="false" showErrorMessage="true" showInputMessage="false" sqref="J2:K1000" type="list">
      <formula1>Breeders!$A$2:$A$1000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N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9"/>
    <col collapsed="false" customWidth="true" hidden="false" outlineLevel="0" max="4" min="4" style="1" width="24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8" min="7" style="1" width="9"/>
    <col collapsed="false" customWidth="true" hidden="false" outlineLevel="0" max="9" min="9" style="1" width="34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3" min="13" style="1" width="40"/>
    <col collapsed="false" customWidth="true" hidden="false" outlineLevel="0" max="14" min="14" style="1" width="11"/>
  </cols>
  <sheetData>
    <row r="1" customFormat="false" ht="30" hidden="false" customHeight="true" outlineLevel="0" collapsed="false">
      <c r="A1" s="5" t="s">
        <v>233</v>
      </c>
      <c r="B1" s="5" t="s">
        <v>24</v>
      </c>
      <c r="C1" s="5" t="s">
        <v>234</v>
      </c>
      <c r="D1" s="5" t="s">
        <v>21</v>
      </c>
      <c r="E1" s="5" t="s">
        <v>22</v>
      </c>
      <c r="F1" s="5" t="s">
        <v>235</v>
      </c>
      <c r="G1" s="5" t="s">
        <v>26</v>
      </c>
      <c r="H1" s="5" t="s">
        <v>27</v>
      </c>
      <c r="I1" s="5" t="s">
        <v>33</v>
      </c>
      <c r="J1" s="5" t="s">
        <v>25</v>
      </c>
      <c r="K1" s="5" t="s">
        <v>236</v>
      </c>
      <c r="L1" s="5" t="s">
        <v>237</v>
      </c>
      <c r="M1" s="5" t="s">
        <v>28</v>
      </c>
      <c r="N1" s="5" t="s">
        <v>238</v>
      </c>
    </row>
    <row r="2" customFormat="false" ht="15" hidden="false" customHeight="true" outlineLevel="0" collapsed="false">
      <c r="A2" s="12" t="s">
        <v>239</v>
      </c>
      <c r="B2" s="12" t="s">
        <v>131</v>
      </c>
      <c r="C2" s="12" t="s">
        <v>240</v>
      </c>
      <c r="D2" s="12" t="s">
        <v>47</v>
      </c>
      <c r="E2" s="12" t="s">
        <v>36</v>
      </c>
      <c r="F2" s="14" t="n">
        <v>46269</v>
      </c>
      <c r="G2" s="12" t="s">
        <v>48</v>
      </c>
      <c r="H2" s="12" t="s">
        <v>51</v>
      </c>
      <c r="I2" s="12"/>
      <c r="J2" s="12" t="s">
        <v>241</v>
      </c>
      <c r="K2" s="14"/>
      <c r="L2" s="12"/>
      <c r="M2" s="12" t="s">
        <v>242</v>
      </c>
    </row>
    <row r="3" customFormat="false" ht="15" hidden="false" customHeight="true" outlineLevel="0" collapsed="false">
      <c r="A3" s="12" t="s">
        <v>243</v>
      </c>
      <c r="B3" s="12" t="s">
        <v>131</v>
      </c>
      <c r="C3" s="12" t="s">
        <v>244</v>
      </c>
      <c r="D3" s="12" t="s">
        <v>47</v>
      </c>
      <c r="E3" s="12" t="s">
        <v>36</v>
      </c>
      <c r="F3" s="14" t="n">
        <v>46269</v>
      </c>
      <c r="G3" s="12" t="s">
        <v>48</v>
      </c>
      <c r="H3" s="12" t="s">
        <v>51</v>
      </c>
      <c r="I3" s="12"/>
      <c r="J3" s="12" t="s">
        <v>241</v>
      </c>
      <c r="K3" s="14"/>
      <c r="L3" s="12"/>
      <c r="M3" s="12" t="s">
        <v>242</v>
      </c>
    </row>
    <row r="4" customFormat="false" ht="15" hidden="false" customHeight="true" outlineLevel="0" collapsed="false">
      <c r="A4" s="12" t="s">
        <v>245</v>
      </c>
      <c r="B4" s="12" t="s">
        <v>133</v>
      </c>
      <c r="C4" s="12" t="s">
        <v>240</v>
      </c>
      <c r="D4" s="12" t="s">
        <v>47</v>
      </c>
      <c r="E4" s="12" t="s">
        <v>41</v>
      </c>
      <c r="F4" s="14" t="n">
        <v>46269</v>
      </c>
      <c r="G4" s="12" t="s">
        <v>48</v>
      </c>
      <c r="H4" s="12" t="s">
        <v>51</v>
      </c>
      <c r="I4" s="12"/>
      <c r="J4" s="12" t="s">
        <v>241</v>
      </c>
      <c r="K4" s="14"/>
      <c r="L4" s="12"/>
      <c r="M4" s="12" t="s">
        <v>242</v>
      </c>
    </row>
    <row r="5" customFormat="false" ht="15" hidden="false" customHeight="true" outlineLevel="0" collapsed="false">
      <c r="A5" s="12" t="s">
        <v>246</v>
      </c>
      <c r="B5" s="12" t="s">
        <v>133</v>
      </c>
      <c r="C5" s="12" t="s">
        <v>244</v>
      </c>
      <c r="D5" s="12" t="s">
        <v>47</v>
      </c>
      <c r="E5" s="12" t="s">
        <v>41</v>
      </c>
      <c r="F5" s="14" t="n">
        <v>46269</v>
      </c>
      <c r="G5" s="12" t="s">
        <v>48</v>
      </c>
      <c r="H5" s="12" t="s">
        <v>51</v>
      </c>
      <c r="I5" s="12"/>
      <c r="J5" s="12" t="s">
        <v>241</v>
      </c>
      <c r="K5" s="14"/>
      <c r="L5" s="12"/>
      <c r="M5" s="12" t="s">
        <v>242</v>
      </c>
    </row>
    <row r="6" customFormat="false" ht="15" hidden="false" customHeight="true" outlineLevel="0" collapsed="false">
      <c r="A6" s="12" t="s">
        <v>247</v>
      </c>
      <c r="B6" s="12" t="s">
        <v>139</v>
      </c>
      <c r="C6" s="12" t="s">
        <v>240</v>
      </c>
      <c r="D6" s="12" t="s">
        <v>82</v>
      </c>
      <c r="E6" s="12" t="s">
        <v>36</v>
      </c>
      <c r="F6" s="14" t="n">
        <v>46269</v>
      </c>
      <c r="G6" s="12" t="s">
        <v>81</v>
      </c>
      <c r="H6" s="12"/>
      <c r="I6" s="12"/>
      <c r="J6" s="12" t="s">
        <v>241</v>
      </c>
      <c r="K6" s="14"/>
      <c r="L6" s="12"/>
      <c r="M6" s="12" t="s">
        <v>242</v>
      </c>
    </row>
    <row r="7" customFormat="false" ht="15" hidden="false" customHeight="true" outlineLevel="0" collapsed="false">
      <c r="A7" s="12" t="s">
        <v>248</v>
      </c>
      <c r="B7" s="12" t="s">
        <v>139</v>
      </c>
      <c r="C7" s="12" t="s">
        <v>244</v>
      </c>
      <c r="D7" s="12" t="s">
        <v>82</v>
      </c>
      <c r="E7" s="12" t="s">
        <v>36</v>
      </c>
      <c r="F7" s="14" t="n">
        <v>46269</v>
      </c>
      <c r="G7" s="12" t="s">
        <v>81</v>
      </c>
      <c r="H7" s="12"/>
      <c r="I7" s="12"/>
      <c r="J7" s="12" t="s">
        <v>241</v>
      </c>
      <c r="K7" s="14"/>
      <c r="L7" s="12"/>
      <c r="M7" s="12" t="s">
        <v>242</v>
      </c>
    </row>
    <row r="8" customFormat="false" ht="15" hidden="false" customHeight="true" outlineLevel="0" collapsed="false">
      <c r="A8" s="12" t="s">
        <v>249</v>
      </c>
      <c r="B8" s="12" t="s">
        <v>139</v>
      </c>
      <c r="C8" s="12" t="s">
        <v>250</v>
      </c>
      <c r="D8" s="12" t="s">
        <v>82</v>
      </c>
      <c r="E8" s="12" t="s">
        <v>36</v>
      </c>
      <c r="F8" s="14" t="n">
        <v>46269</v>
      </c>
      <c r="G8" s="12" t="s">
        <v>81</v>
      </c>
      <c r="H8" s="12"/>
      <c r="I8" s="12"/>
      <c r="J8" s="12" t="s">
        <v>241</v>
      </c>
      <c r="K8" s="14"/>
      <c r="L8" s="12"/>
      <c r="M8" s="12" t="s">
        <v>242</v>
      </c>
    </row>
    <row r="9" customFormat="false" ht="15" hidden="false" customHeight="true" outlineLevel="0" collapsed="false">
      <c r="A9" s="12" t="s">
        <v>251</v>
      </c>
      <c r="B9" s="12" t="s">
        <v>143</v>
      </c>
      <c r="C9" s="12" t="s">
        <v>240</v>
      </c>
      <c r="D9" s="12" t="s">
        <v>35</v>
      </c>
      <c r="E9" s="12" t="s">
        <v>36</v>
      </c>
      <c r="F9" s="14" t="n">
        <v>46272</v>
      </c>
      <c r="G9" s="12" t="s">
        <v>40</v>
      </c>
      <c r="H9" s="12" t="s">
        <v>34</v>
      </c>
      <c r="I9" s="12"/>
      <c r="J9" s="12" t="s">
        <v>241</v>
      </c>
      <c r="K9" s="14"/>
      <c r="L9" s="12"/>
      <c r="M9" s="12" t="s">
        <v>242</v>
      </c>
    </row>
    <row r="10" customFormat="false" ht="15" hidden="false" customHeight="true" outlineLevel="0" collapsed="false">
      <c r="A10" s="12" t="s">
        <v>252</v>
      </c>
      <c r="B10" s="12" t="s">
        <v>143</v>
      </c>
      <c r="C10" s="12" t="s">
        <v>244</v>
      </c>
      <c r="D10" s="12" t="s">
        <v>35</v>
      </c>
      <c r="E10" s="12" t="s">
        <v>36</v>
      </c>
      <c r="F10" s="14" t="n">
        <v>46272</v>
      </c>
      <c r="G10" s="12" t="s">
        <v>40</v>
      </c>
      <c r="H10" s="12" t="s">
        <v>34</v>
      </c>
      <c r="I10" s="12"/>
      <c r="J10" s="12" t="s">
        <v>241</v>
      </c>
      <c r="K10" s="14"/>
      <c r="L10" s="12"/>
      <c r="M10" s="12" t="s">
        <v>242</v>
      </c>
    </row>
    <row r="11" customFormat="false" ht="15" hidden="false" customHeight="true" outlineLevel="0" collapsed="false">
      <c r="A11" s="12" t="s">
        <v>253</v>
      </c>
      <c r="B11" s="12" t="s">
        <v>144</v>
      </c>
      <c r="C11" s="12" t="s">
        <v>240</v>
      </c>
      <c r="D11" s="12" t="s">
        <v>43</v>
      </c>
      <c r="E11" s="12" t="s">
        <v>36</v>
      </c>
      <c r="F11" s="14" t="n">
        <v>45943</v>
      </c>
      <c r="G11" s="12"/>
      <c r="H11" s="12"/>
      <c r="I11" s="12"/>
      <c r="J11" s="12" t="s">
        <v>241</v>
      </c>
      <c r="K11" s="14"/>
      <c r="L11" s="12"/>
      <c r="M11" s="12" t="s">
        <v>242</v>
      </c>
    </row>
    <row r="12" customFormat="false" ht="15" hidden="false" customHeight="true" outlineLevel="0" collapsed="false">
      <c r="A12" s="12" t="s">
        <v>254</v>
      </c>
      <c r="B12" s="12" t="s">
        <v>144</v>
      </c>
      <c r="C12" s="12" t="s">
        <v>244</v>
      </c>
      <c r="D12" s="12" t="s">
        <v>43</v>
      </c>
      <c r="E12" s="12" t="s">
        <v>36</v>
      </c>
      <c r="F12" s="14" t="n">
        <v>45943</v>
      </c>
      <c r="G12" s="12"/>
      <c r="H12" s="12"/>
      <c r="I12" s="12"/>
      <c r="J12" s="12" t="s">
        <v>241</v>
      </c>
      <c r="K12" s="14"/>
      <c r="L12" s="12"/>
      <c r="M12" s="12" t="s">
        <v>242</v>
      </c>
    </row>
    <row r="13" customFormat="false" ht="15" hidden="false" customHeight="true" outlineLevel="0" collapsed="false">
      <c r="A13" s="12" t="s">
        <v>255</v>
      </c>
      <c r="B13" s="12" t="s">
        <v>144</v>
      </c>
      <c r="C13" s="12" t="s">
        <v>250</v>
      </c>
      <c r="D13" s="12" t="s">
        <v>43</v>
      </c>
      <c r="E13" s="12" t="s">
        <v>36</v>
      </c>
      <c r="F13" s="14" t="n">
        <v>45943</v>
      </c>
      <c r="G13" s="12"/>
      <c r="H13" s="12"/>
      <c r="I13" s="12"/>
      <c r="J13" s="12" t="s">
        <v>241</v>
      </c>
      <c r="K13" s="14"/>
      <c r="L13" s="12"/>
      <c r="M13" s="12" t="s">
        <v>242</v>
      </c>
    </row>
    <row r="14" customFormat="false" ht="15" hidden="false" customHeight="true" outlineLevel="0" collapsed="false">
      <c r="A14" s="12" t="s">
        <v>256</v>
      </c>
      <c r="B14" s="12" t="s">
        <v>144</v>
      </c>
      <c r="C14" s="12" t="s">
        <v>257</v>
      </c>
      <c r="D14" s="12" t="s">
        <v>43</v>
      </c>
      <c r="E14" s="12" t="s">
        <v>36</v>
      </c>
      <c r="F14" s="14" t="n">
        <v>45943</v>
      </c>
      <c r="G14" s="12"/>
      <c r="H14" s="12"/>
      <c r="I14" s="12"/>
      <c r="J14" s="12" t="s">
        <v>241</v>
      </c>
      <c r="K14" s="14"/>
      <c r="L14" s="12"/>
      <c r="M14" s="12" t="s">
        <v>242</v>
      </c>
    </row>
    <row r="15" customFormat="false" ht="15" hidden="false" customHeight="true" outlineLevel="0" collapsed="false">
      <c r="A15" s="12" t="s">
        <v>258</v>
      </c>
      <c r="B15" s="12" t="s">
        <v>146</v>
      </c>
      <c r="C15" s="12" t="s">
        <v>240</v>
      </c>
      <c r="D15" s="12" t="s">
        <v>35</v>
      </c>
      <c r="E15" s="12" t="s">
        <v>41</v>
      </c>
      <c r="F15" s="14" t="n">
        <v>46272</v>
      </c>
      <c r="G15" s="12" t="s">
        <v>40</v>
      </c>
      <c r="H15" s="12" t="s">
        <v>34</v>
      </c>
      <c r="I15" s="12"/>
      <c r="J15" s="12" t="s">
        <v>241</v>
      </c>
      <c r="K15" s="14"/>
      <c r="L15" s="12"/>
      <c r="M15" s="12" t="s">
        <v>242</v>
      </c>
    </row>
    <row r="16" customFormat="false" ht="15" hidden="false" customHeight="true" outlineLevel="0" collapsed="false">
      <c r="A16" s="12" t="s">
        <v>259</v>
      </c>
      <c r="B16" s="12" t="s">
        <v>146</v>
      </c>
      <c r="C16" s="12" t="s">
        <v>244</v>
      </c>
      <c r="D16" s="12" t="s">
        <v>35</v>
      </c>
      <c r="E16" s="12" t="s">
        <v>41</v>
      </c>
      <c r="F16" s="14" t="n">
        <v>46272</v>
      </c>
      <c r="G16" s="12" t="s">
        <v>40</v>
      </c>
      <c r="H16" s="12" t="s">
        <v>34</v>
      </c>
      <c r="I16" s="12"/>
      <c r="J16" s="12" t="s">
        <v>241</v>
      </c>
      <c r="K16" s="14"/>
      <c r="L16" s="12"/>
      <c r="M16" s="12" t="s">
        <v>242</v>
      </c>
    </row>
    <row r="17" customFormat="false" ht="15" hidden="false" customHeight="true" outlineLevel="0" collapsed="false">
      <c r="A17" s="12" t="s">
        <v>260</v>
      </c>
      <c r="B17" s="12" t="s">
        <v>146</v>
      </c>
      <c r="C17" s="12" t="s">
        <v>250</v>
      </c>
      <c r="D17" s="12" t="s">
        <v>35</v>
      </c>
      <c r="E17" s="12" t="s">
        <v>41</v>
      </c>
      <c r="F17" s="14" t="n">
        <v>46272</v>
      </c>
      <c r="G17" s="12" t="s">
        <v>40</v>
      </c>
      <c r="H17" s="12" t="s">
        <v>34</v>
      </c>
      <c r="I17" s="12"/>
      <c r="J17" s="12" t="s">
        <v>241</v>
      </c>
      <c r="K17" s="14"/>
      <c r="L17" s="12"/>
      <c r="M17" s="12" t="s">
        <v>242</v>
      </c>
    </row>
    <row r="18" customFormat="false" ht="15" hidden="false" customHeight="true" outlineLevel="0" collapsed="false">
      <c r="A18" s="12" t="s">
        <v>261</v>
      </c>
      <c r="B18" s="12" t="s">
        <v>148</v>
      </c>
      <c r="C18" s="12" t="s">
        <v>240</v>
      </c>
      <c r="D18" s="12" t="s">
        <v>43</v>
      </c>
      <c r="E18" s="12" t="s">
        <v>41</v>
      </c>
      <c r="F18" s="14" t="n">
        <v>45943</v>
      </c>
      <c r="G18" s="12"/>
      <c r="H18" s="12"/>
      <c r="I18" s="12"/>
      <c r="J18" s="12" t="s">
        <v>241</v>
      </c>
      <c r="K18" s="14"/>
      <c r="L18" s="12"/>
      <c r="M18" s="12" t="s">
        <v>242</v>
      </c>
    </row>
    <row r="19" customFormat="false" ht="15" hidden="false" customHeight="true" outlineLevel="0" collapsed="false">
      <c r="A19" s="12" t="s">
        <v>262</v>
      </c>
      <c r="B19" s="12" t="s">
        <v>148</v>
      </c>
      <c r="C19" s="12" t="s">
        <v>244</v>
      </c>
      <c r="D19" s="12" t="s">
        <v>43</v>
      </c>
      <c r="E19" s="12" t="s">
        <v>41</v>
      </c>
      <c r="F19" s="14" t="n">
        <v>45943</v>
      </c>
      <c r="G19" s="12"/>
      <c r="H19" s="12"/>
      <c r="I19" s="12"/>
      <c r="J19" s="12" t="s">
        <v>241</v>
      </c>
      <c r="K19" s="14"/>
      <c r="L19" s="12"/>
      <c r="M19" s="12" t="s">
        <v>242</v>
      </c>
    </row>
    <row r="20" customFormat="false" ht="15" hidden="false" customHeight="true" outlineLevel="0" collapsed="false">
      <c r="A20" s="12" t="s">
        <v>263</v>
      </c>
      <c r="B20" s="12" t="s">
        <v>149</v>
      </c>
      <c r="C20" s="12" t="s">
        <v>240</v>
      </c>
      <c r="D20" s="12" t="s">
        <v>47</v>
      </c>
      <c r="E20" s="12" t="s">
        <v>41</v>
      </c>
      <c r="F20" s="14" t="n">
        <v>46241</v>
      </c>
      <c r="G20" s="12" t="s">
        <v>48</v>
      </c>
      <c r="H20" s="12" t="s">
        <v>51</v>
      </c>
      <c r="I20" s="12"/>
      <c r="J20" s="12" t="s">
        <v>241</v>
      </c>
      <c r="K20" s="14"/>
      <c r="L20" s="12"/>
      <c r="M20" s="12" t="s">
        <v>242</v>
      </c>
    </row>
    <row r="21" customFormat="false" ht="15" hidden="false" customHeight="true" outlineLevel="0" collapsed="false">
      <c r="A21" s="12" t="s">
        <v>264</v>
      </c>
      <c r="B21" s="12" t="s">
        <v>149</v>
      </c>
      <c r="C21" s="12" t="s">
        <v>244</v>
      </c>
      <c r="D21" s="12" t="s">
        <v>47</v>
      </c>
      <c r="E21" s="12" t="s">
        <v>41</v>
      </c>
      <c r="F21" s="14" t="n">
        <v>46241</v>
      </c>
      <c r="G21" s="12" t="s">
        <v>48</v>
      </c>
      <c r="H21" s="12" t="s">
        <v>51</v>
      </c>
      <c r="I21" s="12"/>
      <c r="J21" s="12" t="s">
        <v>241</v>
      </c>
      <c r="K21" s="14"/>
      <c r="L21" s="12"/>
      <c r="M21" s="12" t="s">
        <v>242</v>
      </c>
    </row>
    <row r="22" customFormat="false" ht="15" hidden="false" customHeight="true" outlineLevel="0" collapsed="false">
      <c r="A22" s="12" t="s">
        <v>265</v>
      </c>
      <c r="B22" s="12" t="s">
        <v>151</v>
      </c>
      <c r="C22" s="12" t="s">
        <v>240</v>
      </c>
      <c r="D22" s="12" t="s">
        <v>89</v>
      </c>
      <c r="E22" s="12" t="s">
        <v>36</v>
      </c>
      <c r="F22" s="14" t="n">
        <v>46274</v>
      </c>
      <c r="G22" s="12" t="s">
        <v>88</v>
      </c>
      <c r="H22" s="12" t="s">
        <v>92</v>
      </c>
      <c r="I22" s="12" t="s">
        <v>53</v>
      </c>
      <c r="J22" s="12" t="s">
        <v>241</v>
      </c>
      <c r="K22" s="14"/>
      <c r="L22" s="12"/>
      <c r="M22" s="12" t="s">
        <v>242</v>
      </c>
    </row>
    <row r="23" customFormat="false" ht="15" hidden="false" customHeight="true" outlineLevel="0" collapsed="false">
      <c r="A23" s="12" t="s">
        <v>266</v>
      </c>
      <c r="B23" s="12" t="s">
        <v>151</v>
      </c>
      <c r="C23" s="12" t="s">
        <v>244</v>
      </c>
      <c r="D23" s="12" t="s">
        <v>89</v>
      </c>
      <c r="E23" s="12" t="s">
        <v>36</v>
      </c>
      <c r="F23" s="14" t="n">
        <v>46274</v>
      </c>
      <c r="G23" s="12" t="s">
        <v>88</v>
      </c>
      <c r="H23" s="12" t="s">
        <v>92</v>
      </c>
      <c r="I23" s="12" t="s">
        <v>53</v>
      </c>
      <c r="J23" s="12" t="s">
        <v>241</v>
      </c>
      <c r="K23" s="14"/>
      <c r="L23" s="12"/>
      <c r="M23" s="12" t="s">
        <v>242</v>
      </c>
    </row>
    <row r="24" customFormat="false" ht="15" hidden="false" customHeight="true" outlineLevel="0" collapsed="false">
      <c r="A24" s="12" t="s">
        <v>267</v>
      </c>
      <c r="B24" s="12" t="s">
        <v>153</v>
      </c>
      <c r="C24" s="12" t="s">
        <v>240</v>
      </c>
      <c r="D24" s="12" t="s">
        <v>82</v>
      </c>
      <c r="E24" s="12" t="s">
        <v>41</v>
      </c>
      <c r="F24" s="14" t="n">
        <v>46144</v>
      </c>
      <c r="G24" s="12"/>
      <c r="H24" s="12"/>
      <c r="I24" s="12"/>
      <c r="J24" s="12" t="s">
        <v>241</v>
      </c>
      <c r="K24" s="14"/>
      <c r="L24" s="12"/>
      <c r="M24" s="12" t="s">
        <v>242</v>
      </c>
    </row>
    <row r="25" customFormat="false" ht="15" hidden="false" customHeight="true" outlineLevel="0" collapsed="false">
      <c r="A25" s="12" t="s">
        <v>268</v>
      </c>
      <c r="B25" s="12" t="s">
        <v>155</v>
      </c>
      <c r="C25" s="12" t="s">
        <v>240</v>
      </c>
      <c r="D25" s="12" t="s">
        <v>35</v>
      </c>
      <c r="E25" s="12" t="s">
        <v>36</v>
      </c>
      <c r="F25" s="14" t="n">
        <v>46228</v>
      </c>
      <c r="G25" s="12"/>
      <c r="H25" s="12"/>
      <c r="I25" s="12"/>
      <c r="J25" s="12" t="s">
        <v>241</v>
      </c>
      <c r="K25" s="14"/>
      <c r="L25" s="12"/>
      <c r="M25" s="12" t="s">
        <v>242</v>
      </c>
    </row>
    <row r="26" customFormat="false" ht="15" hidden="false" customHeight="true" outlineLevel="0" collapsed="false">
      <c r="A26" s="12" t="s">
        <v>269</v>
      </c>
      <c r="B26" s="12" t="s">
        <v>155</v>
      </c>
      <c r="C26" s="12" t="s">
        <v>244</v>
      </c>
      <c r="D26" s="12" t="s">
        <v>35</v>
      </c>
      <c r="E26" s="12" t="s">
        <v>36</v>
      </c>
      <c r="F26" s="14" t="n">
        <v>46228</v>
      </c>
      <c r="G26" s="12"/>
      <c r="H26" s="12"/>
      <c r="I26" s="12"/>
      <c r="J26" s="12" t="s">
        <v>241</v>
      </c>
      <c r="K26" s="14"/>
      <c r="L26" s="12"/>
      <c r="M26" s="12" t="s">
        <v>242</v>
      </c>
    </row>
    <row r="27" customFormat="false" ht="15" hidden="false" customHeight="true" outlineLevel="0" collapsed="false">
      <c r="A27" s="12" t="s">
        <v>270</v>
      </c>
      <c r="B27" s="12" t="s">
        <v>155</v>
      </c>
      <c r="C27" s="12" t="s">
        <v>250</v>
      </c>
      <c r="D27" s="12" t="s">
        <v>35</v>
      </c>
      <c r="E27" s="12" t="s">
        <v>36</v>
      </c>
      <c r="F27" s="14" t="n">
        <v>46228</v>
      </c>
      <c r="G27" s="12"/>
      <c r="H27" s="12"/>
      <c r="I27" s="12"/>
      <c r="J27" s="12" t="s">
        <v>241</v>
      </c>
      <c r="K27" s="14"/>
      <c r="L27" s="12"/>
      <c r="M27" s="12" t="s">
        <v>242</v>
      </c>
    </row>
    <row r="28" customFormat="false" ht="15" hidden="false" customHeight="true" outlineLevel="0" collapsed="false">
      <c r="A28" s="12" t="s">
        <v>271</v>
      </c>
      <c r="B28" s="12" t="s">
        <v>157</v>
      </c>
      <c r="C28" s="12" t="s">
        <v>240</v>
      </c>
      <c r="D28" s="12" t="s">
        <v>47</v>
      </c>
      <c r="E28" s="12" t="s">
        <v>36</v>
      </c>
      <c r="F28" s="14" t="n">
        <v>46241</v>
      </c>
      <c r="G28" s="12" t="s">
        <v>48</v>
      </c>
      <c r="H28" s="12" t="s">
        <v>51</v>
      </c>
      <c r="I28" s="12"/>
      <c r="J28" s="12" t="s">
        <v>241</v>
      </c>
      <c r="K28" s="14"/>
      <c r="L28" s="12"/>
      <c r="M28" s="12" t="s">
        <v>242</v>
      </c>
    </row>
    <row r="29" customFormat="false" ht="15" hidden="false" customHeight="true" outlineLevel="0" collapsed="false">
      <c r="A29" s="12" t="s">
        <v>272</v>
      </c>
      <c r="B29" s="12" t="s">
        <v>158</v>
      </c>
      <c r="C29" s="12" t="s">
        <v>240</v>
      </c>
      <c r="D29" s="12" t="s">
        <v>47</v>
      </c>
      <c r="E29" s="12" t="s">
        <v>36</v>
      </c>
      <c r="F29" s="14" t="n">
        <v>46218</v>
      </c>
      <c r="G29" s="12" t="s">
        <v>48</v>
      </c>
      <c r="H29" s="12" t="s">
        <v>51</v>
      </c>
      <c r="I29" s="12"/>
      <c r="J29" s="12" t="s">
        <v>241</v>
      </c>
      <c r="K29" s="14"/>
      <c r="L29" s="12"/>
      <c r="M29" s="12" t="s">
        <v>242</v>
      </c>
    </row>
    <row r="30" customFormat="false" ht="15" hidden="false" customHeight="true" outlineLevel="0" collapsed="false">
      <c r="A30" s="12" t="s">
        <v>273</v>
      </c>
      <c r="B30" s="12" t="s">
        <v>158</v>
      </c>
      <c r="C30" s="12" t="s">
        <v>244</v>
      </c>
      <c r="D30" s="12" t="s">
        <v>47</v>
      </c>
      <c r="E30" s="12" t="s">
        <v>36</v>
      </c>
      <c r="F30" s="14" t="n">
        <v>46218</v>
      </c>
      <c r="G30" s="12" t="s">
        <v>48</v>
      </c>
      <c r="H30" s="12" t="s">
        <v>51</v>
      </c>
      <c r="I30" s="12"/>
      <c r="J30" s="12" t="s">
        <v>241</v>
      </c>
      <c r="K30" s="14"/>
      <c r="L30" s="12"/>
      <c r="M30" s="12" t="s">
        <v>242</v>
      </c>
    </row>
    <row r="31" customFormat="false" ht="15" hidden="false" customHeight="true" outlineLevel="0" collapsed="false">
      <c r="A31" s="12" t="s">
        <v>274</v>
      </c>
      <c r="B31" s="12" t="s">
        <v>159</v>
      </c>
      <c r="C31" s="12" t="s">
        <v>240</v>
      </c>
      <c r="D31" s="12" t="s">
        <v>82</v>
      </c>
      <c r="E31" s="12" t="s">
        <v>36</v>
      </c>
      <c r="F31" s="14" t="n">
        <v>46144</v>
      </c>
      <c r="G31" s="12"/>
      <c r="H31" s="12"/>
      <c r="I31" s="12"/>
      <c r="J31" s="12" t="s">
        <v>241</v>
      </c>
      <c r="K31" s="14"/>
      <c r="L31" s="12"/>
      <c r="M31" s="12" t="s">
        <v>242</v>
      </c>
    </row>
    <row r="32" customFormat="false" ht="15" hidden="false" customHeight="true" outlineLevel="0" collapsed="false">
      <c r="A32" s="12" t="s">
        <v>275</v>
      </c>
      <c r="B32" s="12" t="s">
        <v>159</v>
      </c>
      <c r="C32" s="12" t="s">
        <v>244</v>
      </c>
      <c r="D32" s="12" t="s">
        <v>82</v>
      </c>
      <c r="E32" s="12" t="s">
        <v>36</v>
      </c>
      <c r="F32" s="14" t="n">
        <v>46144</v>
      </c>
      <c r="G32" s="12"/>
      <c r="H32" s="12"/>
      <c r="I32" s="12"/>
      <c r="J32" s="12" t="s">
        <v>241</v>
      </c>
      <c r="K32" s="14"/>
      <c r="L32" s="12"/>
      <c r="M32" s="12" t="s">
        <v>242</v>
      </c>
    </row>
    <row r="33" customFormat="false" ht="15" hidden="false" customHeight="true" outlineLevel="0" collapsed="false">
      <c r="A33" s="12" t="s">
        <v>276</v>
      </c>
      <c r="B33" s="12" t="s">
        <v>160</v>
      </c>
      <c r="C33" s="12" t="s">
        <v>240</v>
      </c>
      <c r="D33" s="12" t="s">
        <v>89</v>
      </c>
      <c r="E33" s="12" t="s">
        <v>41</v>
      </c>
      <c r="F33" s="14" t="n">
        <v>46274</v>
      </c>
      <c r="G33" s="12" t="s">
        <v>88</v>
      </c>
      <c r="H33" s="12" t="s">
        <v>92</v>
      </c>
      <c r="I33" s="12" t="s">
        <v>53</v>
      </c>
      <c r="J33" s="12" t="s">
        <v>241</v>
      </c>
      <c r="K33" s="14"/>
      <c r="L33" s="12"/>
      <c r="M33" s="12" t="s">
        <v>242</v>
      </c>
    </row>
    <row r="34" customFormat="false" ht="15" hidden="false" customHeight="true" outlineLevel="0" collapsed="false">
      <c r="A34" s="12" t="s">
        <v>277</v>
      </c>
      <c r="B34" s="12" t="s">
        <v>161</v>
      </c>
      <c r="C34" s="12" t="s">
        <v>240</v>
      </c>
      <c r="D34" s="12" t="s">
        <v>47</v>
      </c>
      <c r="E34" s="12" t="s">
        <v>41</v>
      </c>
      <c r="F34" s="14" t="n">
        <v>45650</v>
      </c>
      <c r="G34" s="12"/>
      <c r="H34" s="12"/>
      <c r="I34" s="12"/>
      <c r="J34" s="12" t="s">
        <v>241</v>
      </c>
      <c r="K34" s="14"/>
      <c r="L34" s="12"/>
      <c r="M34" s="12" t="s">
        <v>242</v>
      </c>
    </row>
    <row r="35" customFormat="false" ht="15" hidden="false" customHeight="true" outlineLevel="0" collapsed="false">
      <c r="A35" s="12" t="s">
        <v>278</v>
      </c>
      <c r="B35" s="12" t="s">
        <v>163</v>
      </c>
      <c r="C35" s="12" t="s">
        <v>240</v>
      </c>
      <c r="D35" s="12" t="s">
        <v>67</v>
      </c>
      <c r="E35" s="12" t="s">
        <v>36</v>
      </c>
      <c r="F35" s="14" t="n">
        <v>46238</v>
      </c>
      <c r="G35" s="12" t="s">
        <v>66</v>
      </c>
      <c r="H35" s="12" t="s">
        <v>70</v>
      </c>
      <c r="I35" s="12"/>
      <c r="J35" s="12" t="s">
        <v>241</v>
      </c>
      <c r="K35" s="14"/>
      <c r="L35" s="12"/>
      <c r="M35" s="12" t="s">
        <v>242</v>
      </c>
    </row>
    <row r="36" customFormat="false" ht="15" hidden="false" customHeight="true" outlineLevel="0" collapsed="false">
      <c r="A36" s="12" t="s">
        <v>279</v>
      </c>
      <c r="B36" s="12" t="s">
        <v>165</v>
      </c>
      <c r="C36" s="12" t="s">
        <v>240</v>
      </c>
      <c r="D36" s="12" t="s">
        <v>67</v>
      </c>
      <c r="E36" s="12" t="s">
        <v>41</v>
      </c>
      <c r="F36" s="14" t="n">
        <v>46238</v>
      </c>
      <c r="G36" s="12" t="s">
        <v>66</v>
      </c>
      <c r="H36" s="12" t="s">
        <v>70</v>
      </c>
      <c r="I36" s="12"/>
      <c r="J36" s="12" t="s">
        <v>241</v>
      </c>
      <c r="K36" s="14"/>
      <c r="L36" s="12"/>
      <c r="M36" s="12" t="s">
        <v>242</v>
      </c>
    </row>
    <row r="37" customFormat="false" ht="15" hidden="false" customHeight="true" outlineLevel="0" collapsed="false">
      <c r="A37" s="12" t="s">
        <v>280</v>
      </c>
      <c r="B37" s="12" t="s">
        <v>165</v>
      </c>
      <c r="C37" s="12" t="s">
        <v>244</v>
      </c>
      <c r="D37" s="12" t="s">
        <v>67</v>
      </c>
      <c r="E37" s="12" t="s">
        <v>41</v>
      </c>
      <c r="F37" s="14" t="n">
        <v>46238</v>
      </c>
      <c r="G37" s="12" t="s">
        <v>66</v>
      </c>
      <c r="H37" s="12" t="s">
        <v>70</v>
      </c>
      <c r="I37" s="12"/>
      <c r="J37" s="12" t="s">
        <v>241</v>
      </c>
      <c r="K37" s="14"/>
      <c r="L37" s="12"/>
      <c r="M37" s="12" t="s">
        <v>242</v>
      </c>
    </row>
    <row r="38" customFormat="false" ht="15" hidden="false" customHeight="true" outlineLevel="0" collapsed="false">
      <c r="A38" s="12" t="s">
        <v>281</v>
      </c>
      <c r="B38" s="12" t="s">
        <v>166</v>
      </c>
      <c r="C38" s="12" t="s">
        <v>240</v>
      </c>
      <c r="D38" s="12" t="s">
        <v>98</v>
      </c>
      <c r="E38" s="12" t="s">
        <v>36</v>
      </c>
      <c r="F38" s="14" t="n">
        <v>46284</v>
      </c>
      <c r="G38" s="12" t="s">
        <v>97</v>
      </c>
      <c r="H38" s="12" t="s">
        <v>101</v>
      </c>
      <c r="I38" s="12"/>
      <c r="J38" s="12" t="s">
        <v>241</v>
      </c>
      <c r="K38" s="14"/>
      <c r="L38" s="12"/>
      <c r="M38" s="12" t="s">
        <v>242</v>
      </c>
    </row>
    <row r="39" customFormat="false" ht="15" hidden="false" customHeight="true" outlineLevel="0" collapsed="false">
      <c r="A39" s="12" t="s">
        <v>282</v>
      </c>
      <c r="B39" s="12" t="s">
        <v>166</v>
      </c>
      <c r="C39" s="12" t="s">
        <v>244</v>
      </c>
      <c r="D39" s="12" t="s">
        <v>98</v>
      </c>
      <c r="E39" s="12" t="s">
        <v>36</v>
      </c>
      <c r="F39" s="14" t="n">
        <v>46284</v>
      </c>
      <c r="G39" s="12" t="s">
        <v>97</v>
      </c>
      <c r="H39" s="12" t="s">
        <v>101</v>
      </c>
      <c r="I39" s="12"/>
      <c r="J39" s="12" t="s">
        <v>241</v>
      </c>
      <c r="K39" s="14"/>
      <c r="L39" s="12"/>
      <c r="M39" s="12" t="s">
        <v>242</v>
      </c>
    </row>
    <row r="40" customFormat="false" ht="15" hidden="false" customHeight="true" outlineLevel="0" collapsed="false">
      <c r="A40" s="12" t="s">
        <v>283</v>
      </c>
      <c r="B40" s="12" t="s">
        <v>61</v>
      </c>
      <c r="C40" s="12" t="s">
        <v>240</v>
      </c>
      <c r="D40" s="12" t="s">
        <v>43</v>
      </c>
      <c r="E40" s="12" t="s">
        <v>41</v>
      </c>
      <c r="F40" s="14" t="n">
        <v>45828</v>
      </c>
      <c r="G40" s="12"/>
      <c r="H40" s="12"/>
      <c r="I40" s="12"/>
      <c r="J40" s="12" t="s">
        <v>241</v>
      </c>
      <c r="K40" s="14"/>
      <c r="L40" s="12" t="s">
        <v>60</v>
      </c>
      <c r="M40" s="12" t="s">
        <v>242</v>
      </c>
    </row>
    <row r="41" customFormat="false" ht="15" hidden="false" customHeight="true" outlineLevel="0" collapsed="false">
      <c r="A41" s="12" t="s">
        <v>284</v>
      </c>
      <c r="B41" s="12" t="s">
        <v>172</v>
      </c>
      <c r="C41" s="12" t="s">
        <v>240</v>
      </c>
      <c r="D41" s="12" t="s">
        <v>98</v>
      </c>
      <c r="E41" s="12" t="s">
        <v>41</v>
      </c>
      <c r="F41" s="14" t="n">
        <v>46053</v>
      </c>
      <c r="G41" s="12"/>
      <c r="H41" s="12"/>
      <c r="I41" s="12"/>
      <c r="J41" s="12" t="s">
        <v>241</v>
      </c>
      <c r="K41" s="14"/>
      <c r="L41" s="12"/>
      <c r="M41" s="12" t="s">
        <v>242</v>
      </c>
    </row>
    <row r="42" customFormat="false" ht="15" hidden="false" customHeight="true" outlineLevel="0" collapsed="false">
      <c r="A42" s="12" t="s">
        <v>285</v>
      </c>
      <c r="B42" s="12" t="s">
        <v>172</v>
      </c>
      <c r="C42" s="12" t="s">
        <v>244</v>
      </c>
      <c r="D42" s="12" t="s">
        <v>98</v>
      </c>
      <c r="E42" s="12" t="s">
        <v>41</v>
      </c>
      <c r="F42" s="14" t="n">
        <v>46053</v>
      </c>
      <c r="G42" s="12"/>
      <c r="H42" s="12"/>
      <c r="I42" s="12"/>
      <c r="J42" s="12" t="s">
        <v>241</v>
      </c>
      <c r="K42" s="14"/>
      <c r="L42" s="12"/>
      <c r="M42" s="12" t="s">
        <v>242</v>
      </c>
    </row>
    <row r="43" customFormat="false" ht="15" hidden="false" customHeight="true" outlineLevel="0" collapsed="false">
      <c r="A43" s="12" t="s">
        <v>286</v>
      </c>
      <c r="B43" s="12" t="s">
        <v>172</v>
      </c>
      <c r="C43" s="12" t="s">
        <v>250</v>
      </c>
      <c r="D43" s="12" t="s">
        <v>98</v>
      </c>
      <c r="E43" s="12" t="s">
        <v>41</v>
      </c>
      <c r="F43" s="14" t="n">
        <v>46053</v>
      </c>
      <c r="G43" s="12"/>
      <c r="H43" s="12"/>
      <c r="I43" s="12"/>
      <c r="J43" s="12" t="s">
        <v>241</v>
      </c>
      <c r="K43" s="14"/>
      <c r="L43" s="12"/>
      <c r="M43" s="12" t="s">
        <v>242</v>
      </c>
    </row>
    <row r="44" customFormat="false" ht="15" hidden="false" customHeight="true" outlineLevel="0" collapsed="false">
      <c r="A44" s="12" t="s">
        <v>287</v>
      </c>
      <c r="B44" s="12" t="s">
        <v>173</v>
      </c>
      <c r="C44" s="12" t="s">
        <v>240</v>
      </c>
      <c r="D44" s="12" t="s">
        <v>35</v>
      </c>
      <c r="E44" s="12" t="s">
        <v>41</v>
      </c>
      <c r="F44" s="14" t="n">
        <v>46293</v>
      </c>
      <c r="G44" s="12" t="s">
        <v>93</v>
      </c>
      <c r="H44" s="12" t="s">
        <v>96</v>
      </c>
      <c r="I44" s="12"/>
      <c r="J44" s="12" t="s">
        <v>241</v>
      </c>
      <c r="K44" s="14"/>
      <c r="L44" s="12"/>
      <c r="M44" s="12" t="s">
        <v>242</v>
      </c>
    </row>
    <row r="45" customFormat="false" ht="15" hidden="false" customHeight="true" outlineLevel="0" collapsed="false">
      <c r="A45" s="12" t="s">
        <v>288</v>
      </c>
      <c r="B45" s="12" t="s">
        <v>173</v>
      </c>
      <c r="C45" s="12" t="s">
        <v>244</v>
      </c>
      <c r="D45" s="12" t="s">
        <v>35</v>
      </c>
      <c r="E45" s="12" t="s">
        <v>41</v>
      </c>
      <c r="F45" s="14" t="n">
        <v>46293</v>
      </c>
      <c r="G45" s="12" t="s">
        <v>93</v>
      </c>
      <c r="H45" s="12" t="s">
        <v>96</v>
      </c>
      <c r="I45" s="12"/>
      <c r="J45" s="12" t="s">
        <v>241</v>
      </c>
      <c r="K45" s="14"/>
      <c r="L45" s="12"/>
      <c r="M45" s="12" t="s">
        <v>242</v>
      </c>
    </row>
    <row r="46" customFormat="false" ht="15" hidden="false" customHeight="true" outlineLevel="0" collapsed="false">
      <c r="A46" s="12" t="s">
        <v>289</v>
      </c>
      <c r="B46" s="12" t="s">
        <v>176</v>
      </c>
      <c r="C46" s="12" t="s">
        <v>240</v>
      </c>
      <c r="D46" s="12" t="s">
        <v>77</v>
      </c>
      <c r="E46" s="12" t="s">
        <v>41</v>
      </c>
      <c r="F46" s="14" t="n">
        <v>46286</v>
      </c>
      <c r="G46" s="12" t="s">
        <v>76</v>
      </c>
      <c r="H46" s="12" t="s">
        <v>80</v>
      </c>
      <c r="I46" s="12"/>
      <c r="J46" s="12" t="s">
        <v>241</v>
      </c>
      <c r="K46" s="14"/>
      <c r="L46" s="12"/>
      <c r="M46" s="12" t="s">
        <v>242</v>
      </c>
    </row>
    <row r="47" customFormat="false" ht="15" hidden="false" customHeight="true" outlineLevel="0" collapsed="false">
      <c r="A47" s="12" t="s">
        <v>290</v>
      </c>
      <c r="B47" s="12" t="s">
        <v>176</v>
      </c>
      <c r="C47" s="12" t="s">
        <v>244</v>
      </c>
      <c r="D47" s="12" t="s">
        <v>77</v>
      </c>
      <c r="E47" s="12" t="s">
        <v>41</v>
      </c>
      <c r="F47" s="14" t="n">
        <v>46286</v>
      </c>
      <c r="G47" s="12" t="s">
        <v>76</v>
      </c>
      <c r="H47" s="12" t="s">
        <v>80</v>
      </c>
      <c r="I47" s="12"/>
      <c r="J47" s="12" t="s">
        <v>241</v>
      </c>
      <c r="K47" s="14"/>
      <c r="L47" s="12"/>
      <c r="M47" s="12" t="s">
        <v>242</v>
      </c>
    </row>
    <row r="48" customFormat="false" ht="15" hidden="false" customHeight="true" outlineLevel="0" collapsed="false">
      <c r="A48" s="12" t="s">
        <v>291</v>
      </c>
      <c r="B48" s="12" t="s">
        <v>176</v>
      </c>
      <c r="C48" s="12" t="s">
        <v>250</v>
      </c>
      <c r="D48" s="12" t="s">
        <v>77</v>
      </c>
      <c r="E48" s="12" t="s">
        <v>41</v>
      </c>
      <c r="F48" s="14" t="n">
        <v>46286</v>
      </c>
      <c r="G48" s="12" t="s">
        <v>76</v>
      </c>
      <c r="H48" s="12" t="s">
        <v>80</v>
      </c>
      <c r="I48" s="12"/>
      <c r="J48" s="12" t="s">
        <v>241</v>
      </c>
      <c r="K48" s="14"/>
      <c r="L48" s="12"/>
      <c r="M48" s="12" t="s">
        <v>242</v>
      </c>
    </row>
    <row r="49" customFormat="false" ht="15" hidden="false" customHeight="true" outlineLevel="0" collapsed="false">
      <c r="A49" s="12" t="s">
        <v>292</v>
      </c>
      <c r="B49" s="12" t="s">
        <v>176</v>
      </c>
      <c r="C49" s="12" t="s">
        <v>257</v>
      </c>
      <c r="D49" s="12" t="s">
        <v>77</v>
      </c>
      <c r="E49" s="12" t="s">
        <v>41</v>
      </c>
      <c r="F49" s="14" t="n">
        <v>46286</v>
      </c>
      <c r="G49" s="12" t="s">
        <v>76</v>
      </c>
      <c r="H49" s="12" t="s">
        <v>80</v>
      </c>
      <c r="I49" s="12"/>
      <c r="J49" s="12" t="s">
        <v>241</v>
      </c>
      <c r="K49" s="14"/>
      <c r="L49" s="12"/>
      <c r="M49" s="12" t="s">
        <v>242</v>
      </c>
    </row>
    <row r="50" customFormat="false" ht="15" hidden="false" customHeight="true" outlineLevel="0" collapsed="false">
      <c r="A50" s="12" t="s">
        <v>293</v>
      </c>
      <c r="B50" s="12" t="s">
        <v>177</v>
      </c>
      <c r="C50" s="12" t="s">
        <v>240</v>
      </c>
      <c r="D50" s="12" t="s">
        <v>77</v>
      </c>
      <c r="E50" s="12" t="s">
        <v>36</v>
      </c>
      <c r="F50" s="14" t="n">
        <v>46286</v>
      </c>
      <c r="G50" s="12" t="s">
        <v>76</v>
      </c>
      <c r="H50" s="12" t="s">
        <v>80</v>
      </c>
      <c r="I50" s="12"/>
      <c r="J50" s="12" t="s">
        <v>241</v>
      </c>
      <c r="K50" s="14"/>
      <c r="L50" s="12"/>
      <c r="M50" s="12" t="s">
        <v>242</v>
      </c>
    </row>
    <row r="51" customFormat="false" ht="15" hidden="false" customHeight="true" outlineLevel="0" collapsed="false">
      <c r="A51" s="12" t="s">
        <v>294</v>
      </c>
      <c r="B51" s="12" t="s">
        <v>177</v>
      </c>
      <c r="C51" s="12" t="s">
        <v>244</v>
      </c>
      <c r="D51" s="12" t="s">
        <v>77</v>
      </c>
      <c r="E51" s="12" t="s">
        <v>36</v>
      </c>
      <c r="F51" s="14" t="n">
        <v>46286</v>
      </c>
      <c r="G51" s="12" t="s">
        <v>76</v>
      </c>
      <c r="H51" s="12" t="s">
        <v>80</v>
      </c>
      <c r="I51" s="12"/>
      <c r="J51" s="12" t="s">
        <v>241</v>
      </c>
      <c r="K51" s="14"/>
      <c r="L51" s="12"/>
      <c r="M51" s="12" t="s">
        <v>242</v>
      </c>
    </row>
    <row r="52" customFormat="false" ht="15" hidden="false" customHeight="true" outlineLevel="0" collapsed="false">
      <c r="A52" s="12" t="s">
        <v>295</v>
      </c>
      <c r="B52" s="12" t="s">
        <v>177</v>
      </c>
      <c r="C52" s="12" t="s">
        <v>250</v>
      </c>
      <c r="D52" s="12" t="s">
        <v>77</v>
      </c>
      <c r="E52" s="12" t="s">
        <v>36</v>
      </c>
      <c r="F52" s="14" t="n">
        <v>46286</v>
      </c>
      <c r="G52" s="12" t="s">
        <v>76</v>
      </c>
      <c r="H52" s="12" t="s">
        <v>80</v>
      </c>
      <c r="I52" s="12"/>
      <c r="J52" s="12" t="s">
        <v>241</v>
      </c>
      <c r="K52" s="14"/>
      <c r="L52" s="12"/>
      <c r="M52" s="12" t="s">
        <v>242</v>
      </c>
    </row>
    <row r="53" customFormat="false" ht="15" hidden="false" customHeight="true" outlineLevel="0" collapsed="false">
      <c r="A53" s="12" t="s">
        <v>296</v>
      </c>
      <c r="B53" s="12" t="s">
        <v>177</v>
      </c>
      <c r="C53" s="12" t="s">
        <v>257</v>
      </c>
      <c r="D53" s="12" t="s">
        <v>77</v>
      </c>
      <c r="E53" s="12" t="s">
        <v>36</v>
      </c>
      <c r="F53" s="14" t="n">
        <v>46286</v>
      </c>
      <c r="G53" s="12" t="s">
        <v>76</v>
      </c>
      <c r="H53" s="12" t="s">
        <v>80</v>
      </c>
      <c r="I53" s="12"/>
      <c r="J53" s="12" t="s">
        <v>241</v>
      </c>
      <c r="K53" s="14"/>
      <c r="L53" s="12"/>
      <c r="M53" s="12" t="s">
        <v>242</v>
      </c>
    </row>
    <row r="54" customFormat="false" ht="15" hidden="false" customHeight="true" outlineLevel="0" collapsed="false">
      <c r="A54" s="12" t="s">
        <v>297</v>
      </c>
      <c r="B54" s="12" t="s">
        <v>178</v>
      </c>
      <c r="C54" s="12" t="s">
        <v>240</v>
      </c>
      <c r="D54" s="12" t="s">
        <v>35</v>
      </c>
      <c r="E54" s="12" t="s">
        <v>36</v>
      </c>
      <c r="F54" s="14" t="n">
        <v>46293</v>
      </c>
      <c r="G54" s="12" t="s">
        <v>93</v>
      </c>
      <c r="H54" s="12" t="s">
        <v>96</v>
      </c>
      <c r="I54" s="12"/>
      <c r="J54" s="12" t="s">
        <v>241</v>
      </c>
      <c r="K54" s="14"/>
      <c r="L54" s="12"/>
      <c r="M54" s="12" t="s">
        <v>242</v>
      </c>
    </row>
    <row r="55" customFormat="false" ht="15" hidden="false" customHeight="true" outlineLevel="0" collapsed="false">
      <c r="A55" s="12" t="s">
        <v>298</v>
      </c>
      <c r="B55" s="12" t="s">
        <v>178</v>
      </c>
      <c r="C55" s="12" t="s">
        <v>244</v>
      </c>
      <c r="D55" s="12" t="s">
        <v>35</v>
      </c>
      <c r="E55" s="12" t="s">
        <v>36</v>
      </c>
      <c r="F55" s="14" t="n">
        <v>46293</v>
      </c>
      <c r="G55" s="12" t="s">
        <v>93</v>
      </c>
      <c r="H55" s="12" t="s">
        <v>96</v>
      </c>
      <c r="I55" s="12"/>
      <c r="J55" s="12" t="s">
        <v>241</v>
      </c>
      <c r="K55" s="14"/>
      <c r="L55" s="12"/>
      <c r="M55" s="12" t="s">
        <v>242</v>
      </c>
    </row>
    <row r="56" customFormat="false" ht="15" hidden="false" customHeight="true" outlineLevel="0" collapsed="false">
      <c r="A56" s="12" t="s">
        <v>299</v>
      </c>
      <c r="B56" s="12" t="s">
        <v>178</v>
      </c>
      <c r="C56" s="12" t="s">
        <v>250</v>
      </c>
      <c r="D56" s="12" t="s">
        <v>35</v>
      </c>
      <c r="E56" s="12" t="s">
        <v>36</v>
      </c>
      <c r="F56" s="14" t="n">
        <v>46293</v>
      </c>
      <c r="G56" s="12" t="s">
        <v>93</v>
      </c>
      <c r="H56" s="12" t="s">
        <v>96</v>
      </c>
      <c r="I56" s="12"/>
      <c r="J56" s="12" t="s">
        <v>241</v>
      </c>
      <c r="K56" s="14"/>
      <c r="L56" s="12"/>
      <c r="M56" s="12" t="s">
        <v>242</v>
      </c>
    </row>
    <row r="57" customFormat="false" ht="15" hidden="false" customHeight="true" outlineLevel="0" collapsed="false">
      <c r="A57" s="12" t="s">
        <v>300</v>
      </c>
      <c r="B57" s="12" t="s">
        <v>178</v>
      </c>
      <c r="C57" s="12" t="s">
        <v>257</v>
      </c>
      <c r="D57" s="12" t="s">
        <v>35</v>
      </c>
      <c r="E57" s="12" t="s">
        <v>36</v>
      </c>
      <c r="F57" s="14" t="n">
        <v>46293</v>
      </c>
      <c r="G57" s="12" t="s">
        <v>93</v>
      </c>
      <c r="H57" s="12" t="s">
        <v>96</v>
      </c>
      <c r="I57" s="12"/>
      <c r="J57" s="12" t="s">
        <v>241</v>
      </c>
      <c r="K57" s="14"/>
      <c r="L57" s="12"/>
      <c r="M57" s="12" t="s">
        <v>242</v>
      </c>
    </row>
    <row r="58" customFormat="false" ht="15" hidden="false" customHeight="true" outlineLevel="0" collapsed="false">
      <c r="A58" s="12" t="s">
        <v>301</v>
      </c>
      <c r="B58" s="12" t="s">
        <v>178</v>
      </c>
      <c r="C58" s="12" t="s">
        <v>302</v>
      </c>
      <c r="D58" s="12" t="s">
        <v>35</v>
      </c>
      <c r="E58" s="12" t="s">
        <v>36</v>
      </c>
      <c r="F58" s="14" t="n">
        <v>46293</v>
      </c>
      <c r="G58" s="12" t="s">
        <v>93</v>
      </c>
      <c r="H58" s="12" t="s">
        <v>96</v>
      </c>
      <c r="I58" s="12"/>
      <c r="J58" s="12" t="s">
        <v>241</v>
      </c>
      <c r="K58" s="14"/>
      <c r="L58" s="12"/>
      <c r="M58" s="12" t="s">
        <v>242</v>
      </c>
    </row>
    <row r="59" customFormat="false" ht="15" hidden="false" customHeight="true" outlineLevel="0" collapsed="false">
      <c r="A59" s="12" t="s">
        <v>303</v>
      </c>
      <c r="B59" s="12" t="s">
        <v>180</v>
      </c>
      <c r="C59" s="12" t="s">
        <v>240</v>
      </c>
      <c r="D59" s="12" t="s">
        <v>98</v>
      </c>
      <c r="E59" s="12" t="s">
        <v>36</v>
      </c>
      <c r="F59" s="14" t="n">
        <v>46061</v>
      </c>
      <c r="G59" s="12" t="s">
        <v>97</v>
      </c>
      <c r="H59" s="12" t="s">
        <v>101</v>
      </c>
      <c r="I59" s="12"/>
      <c r="J59" s="12" t="s">
        <v>241</v>
      </c>
      <c r="K59" s="14"/>
      <c r="L59" s="12"/>
      <c r="M59" s="12" t="s">
        <v>242</v>
      </c>
    </row>
    <row r="60" customFormat="false" ht="15" hidden="false" customHeight="true" outlineLevel="0" collapsed="false">
      <c r="A60" s="12" t="s">
        <v>304</v>
      </c>
      <c r="B60" s="12" t="s">
        <v>180</v>
      </c>
      <c r="C60" s="12" t="s">
        <v>244</v>
      </c>
      <c r="D60" s="12" t="s">
        <v>98</v>
      </c>
      <c r="E60" s="12" t="s">
        <v>36</v>
      </c>
      <c r="F60" s="14" t="n">
        <v>46061</v>
      </c>
      <c r="G60" s="12" t="s">
        <v>97</v>
      </c>
      <c r="H60" s="12" t="s">
        <v>101</v>
      </c>
      <c r="I60" s="12"/>
      <c r="J60" s="12" t="s">
        <v>241</v>
      </c>
      <c r="K60" s="14"/>
      <c r="L60" s="12"/>
      <c r="M60" s="12" t="s">
        <v>242</v>
      </c>
    </row>
    <row r="61" customFormat="false" ht="15" hidden="false" customHeight="true" outlineLevel="0" collapsed="false">
      <c r="A61" s="12" t="s">
        <v>305</v>
      </c>
      <c r="B61" s="12" t="s">
        <v>180</v>
      </c>
      <c r="C61" s="12" t="s">
        <v>250</v>
      </c>
      <c r="D61" s="12" t="s">
        <v>98</v>
      </c>
      <c r="E61" s="12" t="s">
        <v>36</v>
      </c>
      <c r="F61" s="14" t="n">
        <v>46061</v>
      </c>
      <c r="G61" s="12" t="s">
        <v>97</v>
      </c>
      <c r="H61" s="12" t="s">
        <v>101</v>
      </c>
      <c r="I61" s="12"/>
      <c r="J61" s="12" t="s">
        <v>241</v>
      </c>
      <c r="K61" s="14"/>
      <c r="L61" s="12"/>
      <c r="M61" s="12" t="s">
        <v>242</v>
      </c>
    </row>
    <row r="62" customFormat="false" ht="15" hidden="false" customHeight="true" outlineLevel="0" collapsed="false">
      <c r="A62" s="12" t="s">
        <v>306</v>
      </c>
      <c r="B62" s="12" t="s">
        <v>187</v>
      </c>
      <c r="C62" s="12" t="s">
        <v>240</v>
      </c>
      <c r="D62" s="12" t="s">
        <v>72</v>
      </c>
      <c r="E62" s="12" t="s">
        <v>41</v>
      </c>
      <c r="F62" s="14" t="n">
        <v>46208</v>
      </c>
      <c r="G62" s="12" t="s">
        <v>71</v>
      </c>
      <c r="H62" s="12" t="s">
        <v>75</v>
      </c>
      <c r="I62" s="12"/>
      <c r="J62" s="12" t="s">
        <v>241</v>
      </c>
      <c r="K62" s="14"/>
      <c r="L62" s="12"/>
      <c r="M62" s="12" t="s">
        <v>242</v>
      </c>
    </row>
    <row r="63" customFormat="false" ht="15" hidden="false" customHeight="true" outlineLevel="0" collapsed="false">
      <c r="A63" s="12" t="s">
        <v>307</v>
      </c>
      <c r="B63" s="12" t="s">
        <v>187</v>
      </c>
      <c r="C63" s="12" t="s">
        <v>244</v>
      </c>
      <c r="D63" s="12" t="s">
        <v>72</v>
      </c>
      <c r="E63" s="12" t="s">
        <v>41</v>
      </c>
      <c r="F63" s="14" t="n">
        <v>46208</v>
      </c>
      <c r="G63" s="12" t="s">
        <v>71</v>
      </c>
      <c r="H63" s="12" t="s">
        <v>75</v>
      </c>
      <c r="I63" s="12"/>
      <c r="J63" s="12" t="s">
        <v>241</v>
      </c>
      <c r="K63" s="14"/>
      <c r="L63" s="12"/>
      <c r="M63" s="12" t="s">
        <v>242</v>
      </c>
    </row>
    <row r="64" customFormat="false" ht="15" hidden="false" customHeight="true" outlineLevel="0" collapsed="false">
      <c r="A64" s="12" t="s">
        <v>308</v>
      </c>
      <c r="B64" s="12" t="s">
        <v>187</v>
      </c>
      <c r="C64" s="12" t="s">
        <v>250</v>
      </c>
      <c r="D64" s="12" t="s">
        <v>72</v>
      </c>
      <c r="E64" s="12" t="s">
        <v>41</v>
      </c>
      <c r="F64" s="14" t="n">
        <v>46208</v>
      </c>
      <c r="G64" s="12" t="s">
        <v>71</v>
      </c>
      <c r="H64" s="12" t="s">
        <v>75</v>
      </c>
      <c r="I64" s="12"/>
      <c r="J64" s="12" t="s">
        <v>241</v>
      </c>
      <c r="K64" s="14"/>
      <c r="L64" s="12"/>
      <c r="M64" s="12" t="s">
        <v>242</v>
      </c>
    </row>
    <row r="65" customFormat="false" ht="15" hidden="false" customHeight="true" outlineLevel="0" collapsed="false">
      <c r="A65" s="12" t="s">
        <v>309</v>
      </c>
      <c r="B65" s="12" t="s">
        <v>191</v>
      </c>
      <c r="C65" s="12" t="s">
        <v>240</v>
      </c>
      <c r="D65" s="12" t="s">
        <v>72</v>
      </c>
      <c r="E65" s="12" t="s">
        <v>36</v>
      </c>
      <c r="F65" s="14" t="n">
        <v>46148</v>
      </c>
      <c r="G65" s="12"/>
      <c r="H65" s="12"/>
      <c r="I65" s="12"/>
      <c r="J65" s="12" t="s">
        <v>241</v>
      </c>
      <c r="K65" s="14"/>
      <c r="L65" s="12"/>
      <c r="M65" s="12" t="s">
        <v>242</v>
      </c>
    </row>
    <row r="66" customFormat="false" ht="15" hidden="false" customHeight="true" outlineLevel="0" collapsed="false">
      <c r="A66" s="12" t="s">
        <v>310</v>
      </c>
      <c r="B66" s="12" t="s">
        <v>191</v>
      </c>
      <c r="C66" s="12" t="s">
        <v>244</v>
      </c>
      <c r="D66" s="12" t="s">
        <v>72</v>
      </c>
      <c r="E66" s="12" t="s">
        <v>36</v>
      </c>
      <c r="F66" s="14" t="n">
        <v>46148</v>
      </c>
      <c r="G66" s="12"/>
      <c r="H66" s="12"/>
      <c r="I66" s="12"/>
      <c r="J66" s="12" t="s">
        <v>241</v>
      </c>
      <c r="K66" s="14"/>
      <c r="L66" s="12"/>
      <c r="M66" s="12" t="s">
        <v>242</v>
      </c>
    </row>
    <row r="67" customFormat="false" ht="15" hidden="false" customHeight="true" outlineLevel="0" collapsed="false">
      <c r="A67" s="12" t="s">
        <v>311</v>
      </c>
      <c r="B67" s="12" t="s">
        <v>191</v>
      </c>
      <c r="C67" s="12" t="s">
        <v>250</v>
      </c>
      <c r="D67" s="12" t="s">
        <v>72</v>
      </c>
      <c r="E67" s="12" t="s">
        <v>36</v>
      </c>
      <c r="F67" s="14" t="n">
        <v>46148</v>
      </c>
      <c r="G67" s="12"/>
      <c r="H67" s="12"/>
      <c r="I67" s="12"/>
      <c r="J67" s="12" t="s">
        <v>241</v>
      </c>
      <c r="K67" s="14"/>
      <c r="L67" s="12"/>
      <c r="M67" s="12" t="s">
        <v>242</v>
      </c>
    </row>
    <row r="68" customFormat="false" ht="15" hidden="false" customHeight="true" outlineLevel="0" collapsed="false">
      <c r="A68" s="12" t="s">
        <v>312</v>
      </c>
      <c r="B68" s="12" t="s">
        <v>193</v>
      </c>
      <c r="C68" s="12" t="s">
        <v>240</v>
      </c>
      <c r="D68" s="12" t="s">
        <v>72</v>
      </c>
      <c r="E68" s="12" t="s">
        <v>36</v>
      </c>
      <c r="F68" s="14" t="n">
        <v>46208</v>
      </c>
      <c r="G68" s="12" t="s">
        <v>71</v>
      </c>
      <c r="H68" s="12" t="s">
        <v>75</v>
      </c>
      <c r="I68" s="12"/>
      <c r="J68" s="12" t="s">
        <v>241</v>
      </c>
      <c r="K68" s="14"/>
      <c r="L68" s="12"/>
      <c r="M68" s="12" t="s">
        <v>242</v>
      </c>
    </row>
    <row r="69" customFormat="false" ht="15" hidden="false" customHeight="true" outlineLevel="0" collapsed="false">
      <c r="A69" s="12" t="s">
        <v>313</v>
      </c>
      <c r="B69" s="12" t="s">
        <v>193</v>
      </c>
      <c r="C69" s="12" t="s">
        <v>244</v>
      </c>
      <c r="D69" s="12" t="s">
        <v>72</v>
      </c>
      <c r="E69" s="12" t="s">
        <v>36</v>
      </c>
      <c r="F69" s="14" t="n">
        <v>46208</v>
      </c>
      <c r="G69" s="12" t="s">
        <v>71</v>
      </c>
      <c r="H69" s="12" t="s">
        <v>75</v>
      </c>
      <c r="I69" s="12"/>
      <c r="J69" s="12" t="s">
        <v>241</v>
      </c>
      <c r="K69" s="14"/>
      <c r="L69" s="12"/>
      <c r="M69" s="12" t="s">
        <v>242</v>
      </c>
    </row>
    <row r="70" customFormat="false" ht="15" hidden="false" customHeight="true" outlineLevel="0" collapsed="false">
      <c r="A70" s="12" t="s">
        <v>314</v>
      </c>
      <c r="B70" s="12" t="s">
        <v>194</v>
      </c>
      <c r="C70" s="12" t="s">
        <v>240</v>
      </c>
      <c r="D70" s="12" t="s">
        <v>82</v>
      </c>
      <c r="E70" s="12" t="s">
        <v>36</v>
      </c>
      <c r="F70" s="14" t="n">
        <v>46099</v>
      </c>
      <c r="G70" s="12"/>
      <c r="H70" s="12"/>
      <c r="I70" s="12"/>
      <c r="J70" s="12" t="s">
        <v>241</v>
      </c>
      <c r="K70" s="14"/>
      <c r="L70" s="12"/>
      <c r="M70" s="12" t="s">
        <v>242</v>
      </c>
    </row>
    <row r="71" customFormat="false" ht="15" hidden="false" customHeight="true" outlineLevel="0" collapsed="false">
      <c r="A71" s="12" t="s">
        <v>315</v>
      </c>
      <c r="B71" s="12" t="s">
        <v>194</v>
      </c>
      <c r="C71" s="12" t="s">
        <v>244</v>
      </c>
      <c r="D71" s="12" t="s">
        <v>82</v>
      </c>
      <c r="E71" s="12" t="s">
        <v>36</v>
      </c>
      <c r="F71" s="14" t="n">
        <v>46099</v>
      </c>
      <c r="G71" s="12"/>
      <c r="H71" s="12"/>
      <c r="I71" s="12"/>
      <c r="J71" s="12" t="s">
        <v>241</v>
      </c>
      <c r="K71" s="14"/>
      <c r="L71" s="12"/>
      <c r="M71" s="12" t="s">
        <v>242</v>
      </c>
    </row>
    <row r="72" customFormat="false" ht="15" hidden="false" customHeight="true" outlineLevel="0" collapsed="false">
      <c r="A72" s="12" t="s">
        <v>316</v>
      </c>
      <c r="B72" s="12" t="s">
        <v>194</v>
      </c>
      <c r="C72" s="12" t="s">
        <v>250</v>
      </c>
      <c r="D72" s="12" t="s">
        <v>82</v>
      </c>
      <c r="E72" s="12" t="s">
        <v>36</v>
      </c>
      <c r="F72" s="14" t="n">
        <v>46099</v>
      </c>
      <c r="G72" s="12"/>
      <c r="H72" s="12"/>
      <c r="I72" s="12"/>
      <c r="J72" s="12" t="s">
        <v>241</v>
      </c>
      <c r="K72" s="14"/>
      <c r="L72" s="12"/>
      <c r="M72" s="12" t="s">
        <v>242</v>
      </c>
    </row>
    <row r="73" customFormat="false" ht="15" hidden="false" customHeight="true" outlineLevel="0" collapsed="false">
      <c r="A73" s="12" t="s">
        <v>317</v>
      </c>
      <c r="B73" s="12" t="s">
        <v>194</v>
      </c>
      <c r="C73" s="12" t="s">
        <v>257</v>
      </c>
      <c r="D73" s="12" t="s">
        <v>82</v>
      </c>
      <c r="E73" s="12" t="s">
        <v>36</v>
      </c>
      <c r="F73" s="14" t="n">
        <v>46099</v>
      </c>
      <c r="G73" s="12"/>
      <c r="H73" s="12"/>
      <c r="I73" s="12"/>
      <c r="J73" s="12" t="s">
        <v>241</v>
      </c>
      <c r="K73" s="14"/>
      <c r="L73" s="12"/>
      <c r="M73" s="12" t="s">
        <v>242</v>
      </c>
    </row>
    <row r="74" customFormat="false" ht="15" hidden="false" customHeight="true" outlineLevel="0" collapsed="false">
      <c r="A74" s="12" t="s">
        <v>318</v>
      </c>
      <c r="B74" s="12" t="s">
        <v>196</v>
      </c>
      <c r="C74" s="12" t="s">
        <v>240</v>
      </c>
      <c r="D74" s="12" t="s">
        <v>77</v>
      </c>
      <c r="E74" s="12" t="s">
        <v>41</v>
      </c>
      <c r="F74" s="14" t="n">
        <v>46023</v>
      </c>
      <c r="G74" s="12"/>
      <c r="H74" s="12"/>
      <c r="I74" s="12"/>
      <c r="J74" s="12" t="s">
        <v>241</v>
      </c>
      <c r="K74" s="14"/>
      <c r="L74" s="12"/>
      <c r="M74" s="12" t="s">
        <v>242</v>
      </c>
    </row>
    <row r="75" customFormat="false" ht="15" hidden="false" customHeight="true" outlineLevel="0" collapsed="false">
      <c r="A75" s="12" t="s">
        <v>319</v>
      </c>
      <c r="B75" s="12" t="s">
        <v>196</v>
      </c>
      <c r="C75" s="12" t="s">
        <v>244</v>
      </c>
      <c r="D75" s="12" t="s">
        <v>77</v>
      </c>
      <c r="E75" s="12" t="s">
        <v>41</v>
      </c>
      <c r="F75" s="14" t="n">
        <v>46023</v>
      </c>
      <c r="G75" s="12"/>
      <c r="H75" s="12"/>
      <c r="I75" s="12"/>
      <c r="J75" s="12" t="s">
        <v>241</v>
      </c>
      <c r="K75" s="14"/>
      <c r="L75" s="12"/>
      <c r="M75" s="12" t="s">
        <v>242</v>
      </c>
    </row>
    <row r="76" customFormat="false" ht="15" hidden="false" customHeight="true" outlineLevel="0" collapsed="false">
      <c r="A76" s="12" t="s">
        <v>320</v>
      </c>
      <c r="B76" s="12" t="s">
        <v>196</v>
      </c>
      <c r="C76" s="12" t="s">
        <v>250</v>
      </c>
      <c r="D76" s="12" t="s">
        <v>77</v>
      </c>
      <c r="E76" s="12" t="s">
        <v>41</v>
      </c>
      <c r="F76" s="14" t="n">
        <v>46023</v>
      </c>
      <c r="G76" s="12"/>
      <c r="H76" s="12"/>
      <c r="I76" s="12"/>
      <c r="J76" s="12" t="s">
        <v>241</v>
      </c>
      <c r="K76" s="14"/>
      <c r="L76" s="12"/>
      <c r="M76" s="12" t="s">
        <v>242</v>
      </c>
    </row>
    <row r="77" customFormat="false" ht="15" hidden="false" customHeight="true" outlineLevel="0" collapsed="false">
      <c r="A77" s="12" t="s">
        <v>321</v>
      </c>
      <c r="B77" s="12" t="s">
        <v>196</v>
      </c>
      <c r="C77" s="12" t="s">
        <v>257</v>
      </c>
      <c r="D77" s="12" t="s">
        <v>77</v>
      </c>
      <c r="E77" s="12" t="s">
        <v>41</v>
      </c>
      <c r="F77" s="14" t="n">
        <v>46023</v>
      </c>
      <c r="G77" s="12"/>
      <c r="H77" s="12"/>
      <c r="I77" s="12"/>
      <c r="J77" s="12" t="s">
        <v>241</v>
      </c>
      <c r="K77" s="14"/>
      <c r="L77" s="12"/>
      <c r="M77" s="12" t="s">
        <v>242</v>
      </c>
    </row>
    <row r="78" customFormat="false" ht="15" hidden="false" customHeight="true" outlineLevel="0" collapsed="false">
      <c r="A78" s="12" t="s">
        <v>322</v>
      </c>
      <c r="B78" s="12" t="s">
        <v>196</v>
      </c>
      <c r="C78" s="12" t="s">
        <v>302</v>
      </c>
      <c r="D78" s="12" t="s">
        <v>77</v>
      </c>
      <c r="E78" s="12" t="s">
        <v>41</v>
      </c>
      <c r="F78" s="14" t="n">
        <v>46023</v>
      </c>
      <c r="G78" s="12"/>
      <c r="H78" s="12"/>
      <c r="I78" s="12"/>
      <c r="J78" s="12" t="s">
        <v>241</v>
      </c>
      <c r="K78" s="14"/>
      <c r="L78" s="12"/>
      <c r="M78" s="12" t="s">
        <v>242</v>
      </c>
    </row>
    <row r="79" customFormat="false" ht="15" hidden="false" customHeight="true" outlineLevel="0" collapsed="false">
      <c r="A79" s="12" t="s">
        <v>323</v>
      </c>
      <c r="B79" s="12" t="s">
        <v>197</v>
      </c>
      <c r="C79" s="12" t="s">
        <v>240</v>
      </c>
      <c r="D79" s="12" t="s">
        <v>67</v>
      </c>
      <c r="E79" s="12" t="s">
        <v>36</v>
      </c>
      <c r="F79" s="14" t="n">
        <v>45990</v>
      </c>
      <c r="G79" s="12"/>
      <c r="H79" s="12"/>
      <c r="I79" s="12"/>
      <c r="J79" s="12" t="s">
        <v>241</v>
      </c>
      <c r="K79" s="14"/>
      <c r="L79" s="12"/>
      <c r="M79" s="12" t="s">
        <v>242</v>
      </c>
    </row>
    <row r="80" customFormat="false" ht="15" hidden="false" customHeight="true" outlineLevel="0" collapsed="false">
      <c r="A80" s="12" t="s">
        <v>324</v>
      </c>
      <c r="B80" s="12" t="s">
        <v>197</v>
      </c>
      <c r="C80" s="12" t="s">
        <v>244</v>
      </c>
      <c r="D80" s="12" t="s">
        <v>67</v>
      </c>
      <c r="E80" s="12" t="s">
        <v>36</v>
      </c>
      <c r="F80" s="14" t="n">
        <v>45990</v>
      </c>
      <c r="G80" s="12"/>
      <c r="H80" s="12"/>
      <c r="I80" s="12"/>
      <c r="J80" s="12" t="s">
        <v>241</v>
      </c>
      <c r="K80" s="14"/>
      <c r="L80" s="12"/>
      <c r="M80" s="12" t="s">
        <v>242</v>
      </c>
    </row>
    <row r="81" customFormat="false" ht="15" hidden="false" customHeight="true" outlineLevel="0" collapsed="false">
      <c r="A81" s="12" t="s">
        <v>325</v>
      </c>
      <c r="B81" s="12" t="s">
        <v>197</v>
      </c>
      <c r="C81" s="12" t="s">
        <v>250</v>
      </c>
      <c r="D81" s="12" t="s">
        <v>67</v>
      </c>
      <c r="E81" s="12" t="s">
        <v>36</v>
      </c>
      <c r="F81" s="14" t="n">
        <v>45990</v>
      </c>
      <c r="G81" s="12"/>
      <c r="H81" s="12"/>
      <c r="I81" s="12"/>
      <c r="J81" s="12" t="s">
        <v>241</v>
      </c>
      <c r="K81" s="14"/>
      <c r="L81" s="12"/>
      <c r="M81" s="12" t="s">
        <v>242</v>
      </c>
    </row>
    <row r="82" customFormat="false" ht="15" hidden="false" customHeight="true" outlineLevel="0" collapsed="false">
      <c r="A82" s="12" t="s">
        <v>326</v>
      </c>
      <c r="B82" s="12" t="s">
        <v>201</v>
      </c>
      <c r="C82" s="12" t="s">
        <v>240</v>
      </c>
      <c r="D82" s="12" t="s">
        <v>82</v>
      </c>
      <c r="E82" s="12" t="s">
        <v>41</v>
      </c>
      <c r="F82" s="14" t="n">
        <v>46199</v>
      </c>
      <c r="G82" s="12" t="s">
        <v>81</v>
      </c>
      <c r="H82" s="12"/>
      <c r="I82" s="12"/>
      <c r="J82" s="12" t="s">
        <v>241</v>
      </c>
      <c r="K82" s="14"/>
      <c r="L82" s="12"/>
      <c r="M82" s="12" t="s">
        <v>242</v>
      </c>
    </row>
    <row r="83" customFormat="false" ht="15" hidden="false" customHeight="true" outlineLevel="0" collapsed="false">
      <c r="A83" s="12" t="s">
        <v>327</v>
      </c>
      <c r="B83" s="12" t="s">
        <v>201</v>
      </c>
      <c r="C83" s="12" t="s">
        <v>244</v>
      </c>
      <c r="D83" s="12" t="s">
        <v>82</v>
      </c>
      <c r="E83" s="12" t="s">
        <v>41</v>
      </c>
      <c r="F83" s="14" t="n">
        <v>46199</v>
      </c>
      <c r="G83" s="12" t="s">
        <v>81</v>
      </c>
      <c r="H83" s="12"/>
      <c r="I83" s="12"/>
      <c r="J83" s="12" t="s">
        <v>241</v>
      </c>
      <c r="K83" s="14"/>
      <c r="L83" s="12"/>
      <c r="M83" s="12" t="s">
        <v>242</v>
      </c>
    </row>
    <row r="84" customFormat="false" ht="15" hidden="false" customHeight="true" outlineLevel="0" collapsed="false">
      <c r="A84" s="12" t="s">
        <v>328</v>
      </c>
      <c r="B84" s="12" t="s">
        <v>201</v>
      </c>
      <c r="C84" s="12" t="s">
        <v>250</v>
      </c>
      <c r="D84" s="12" t="s">
        <v>82</v>
      </c>
      <c r="E84" s="12" t="s">
        <v>41</v>
      </c>
      <c r="F84" s="14" t="n">
        <v>46199</v>
      </c>
      <c r="G84" s="12" t="s">
        <v>81</v>
      </c>
      <c r="H84" s="12"/>
      <c r="I84" s="12"/>
      <c r="J84" s="12" t="s">
        <v>241</v>
      </c>
      <c r="K84" s="14"/>
      <c r="L84" s="12"/>
      <c r="M84" s="12" t="s">
        <v>242</v>
      </c>
    </row>
    <row r="85" customFormat="false" ht="15" hidden="false" customHeight="true" outlineLevel="0" collapsed="false">
      <c r="A85" s="12" t="s">
        <v>329</v>
      </c>
      <c r="B85" s="12" t="s">
        <v>202</v>
      </c>
      <c r="C85" s="12" t="s">
        <v>240</v>
      </c>
      <c r="D85" s="12" t="s">
        <v>72</v>
      </c>
      <c r="E85" s="12" t="s">
        <v>36</v>
      </c>
      <c r="F85" s="14" t="n">
        <v>46104</v>
      </c>
      <c r="G85" s="12"/>
      <c r="H85" s="12"/>
      <c r="I85" s="12"/>
      <c r="J85" s="12" t="s">
        <v>241</v>
      </c>
      <c r="K85" s="14"/>
      <c r="L85" s="12"/>
      <c r="M85" s="12" t="s">
        <v>242</v>
      </c>
    </row>
    <row r="86" customFormat="false" ht="15" hidden="false" customHeight="true" outlineLevel="0" collapsed="false">
      <c r="A86" s="12" t="s">
        <v>330</v>
      </c>
      <c r="B86" s="12" t="s">
        <v>202</v>
      </c>
      <c r="C86" s="12" t="s">
        <v>244</v>
      </c>
      <c r="D86" s="12" t="s">
        <v>72</v>
      </c>
      <c r="E86" s="12" t="s">
        <v>36</v>
      </c>
      <c r="F86" s="14" t="n">
        <v>46104</v>
      </c>
      <c r="G86" s="12"/>
      <c r="H86" s="12"/>
      <c r="I86" s="12"/>
      <c r="J86" s="12" t="s">
        <v>241</v>
      </c>
      <c r="K86" s="14"/>
      <c r="L86" s="12"/>
      <c r="M86" s="12" t="s">
        <v>242</v>
      </c>
    </row>
    <row r="87" customFormat="false" ht="15" hidden="false" customHeight="true" outlineLevel="0" collapsed="false">
      <c r="A87" s="12" t="s">
        <v>331</v>
      </c>
      <c r="B87" s="12" t="s">
        <v>203</v>
      </c>
      <c r="C87" s="12" t="s">
        <v>240</v>
      </c>
      <c r="D87" s="12" t="s">
        <v>77</v>
      </c>
      <c r="E87" s="12" t="s">
        <v>36</v>
      </c>
      <c r="F87" s="14" t="n">
        <v>46245</v>
      </c>
      <c r="G87" s="12"/>
      <c r="H87" s="12"/>
      <c r="I87" s="12"/>
      <c r="J87" s="12" t="s">
        <v>241</v>
      </c>
      <c r="K87" s="14"/>
      <c r="L87" s="12"/>
      <c r="M87" s="12" t="s">
        <v>242</v>
      </c>
    </row>
    <row r="88" customFormat="false" ht="15" hidden="false" customHeight="true" outlineLevel="0" collapsed="false">
      <c r="A88" s="12" t="s">
        <v>332</v>
      </c>
      <c r="B88" s="12" t="s">
        <v>203</v>
      </c>
      <c r="C88" s="12" t="s">
        <v>244</v>
      </c>
      <c r="D88" s="12" t="s">
        <v>77</v>
      </c>
      <c r="E88" s="12" t="s">
        <v>36</v>
      </c>
      <c r="F88" s="14" t="n">
        <v>46245</v>
      </c>
      <c r="G88" s="12"/>
      <c r="H88" s="12"/>
      <c r="I88" s="12"/>
      <c r="J88" s="12" t="s">
        <v>241</v>
      </c>
      <c r="K88" s="14"/>
      <c r="L88" s="12"/>
      <c r="M88" s="12" t="s">
        <v>242</v>
      </c>
    </row>
    <row r="89" customFormat="false" ht="15" hidden="false" customHeight="true" outlineLevel="0" collapsed="false">
      <c r="A89" s="12" t="s">
        <v>333</v>
      </c>
      <c r="B89" s="12" t="s">
        <v>203</v>
      </c>
      <c r="C89" s="12" t="s">
        <v>250</v>
      </c>
      <c r="D89" s="12" t="s">
        <v>77</v>
      </c>
      <c r="E89" s="12" t="s">
        <v>36</v>
      </c>
      <c r="F89" s="14" t="n">
        <v>46245</v>
      </c>
      <c r="G89" s="12"/>
      <c r="H89" s="12"/>
      <c r="I89" s="12"/>
      <c r="J89" s="12" t="s">
        <v>241</v>
      </c>
      <c r="K89" s="14"/>
      <c r="L89" s="12"/>
      <c r="M89" s="12" t="s">
        <v>242</v>
      </c>
    </row>
    <row r="90" customFormat="false" ht="15" hidden="false" customHeight="true" outlineLevel="0" collapsed="false">
      <c r="A90" s="12" t="s">
        <v>334</v>
      </c>
      <c r="B90" s="12" t="s">
        <v>203</v>
      </c>
      <c r="C90" s="12" t="s">
        <v>257</v>
      </c>
      <c r="D90" s="12" t="s">
        <v>77</v>
      </c>
      <c r="E90" s="12" t="s">
        <v>36</v>
      </c>
      <c r="F90" s="14" t="n">
        <v>46245</v>
      </c>
      <c r="G90" s="12"/>
      <c r="H90" s="12"/>
      <c r="I90" s="12"/>
      <c r="J90" s="12" t="s">
        <v>241</v>
      </c>
      <c r="K90" s="14"/>
      <c r="L90" s="12"/>
      <c r="M90" s="12" t="s">
        <v>242</v>
      </c>
    </row>
    <row r="91" customFormat="false" ht="15" hidden="false" customHeight="true" outlineLevel="0" collapsed="false">
      <c r="A91" s="12" t="s">
        <v>335</v>
      </c>
      <c r="B91" s="12" t="s">
        <v>205</v>
      </c>
      <c r="C91" s="12" t="s">
        <v>240</v>
      </c>
      <c r="D91" s="12" t="s">
        <v>77</v>
      </c>
      <c r="E91" s="12" t="s">
        <v>36</v>
      </c>
      <c r="F91" s="14" t="n">
        <v>46001</v>
      </c>
      <c r="G91" s="12"/>
      <c r="H91" s="12"/>
      <c r="I91" s="12"/>
      <c r="J91" s="12" t="s">
        <v>241</v>
      </c>
      <c r="K91" s="14"/>
      <c r="L91" s="12"/>
      <c r="M91" s="12" t="s">
        <v>242</v>
      </c>
    </row>
    <row r="92" customFormat="false" ht="15" hidden="false" customHeight="true" outlineLevel="0" collapsed="false">
      <c r="A92" s="12" t="s">
        <v>336</v>
      </c>
      <c r="B92" s="12" t="s">
        <v>205</v>
      </c>
      <c r="C92" s="12" t="s">
        <v>244</v>
      </c>
      <c r="D92" s="12" t="s">
        <v>77</v>
      </c>
      <c r="E92" s="12" t="s">
        <v>36</v>
      </c>
      <c r="F92" s="14" t="n">
        <v>46001</v>
      </c>
      <c r="G92" s="12"/>
      <c r="H92" s="12"/>
      <c r="I92" s="12"/>
      <c r="J92" s="12" t="s">
        <v>241</v>
      </c>
      <c r="K92" s="14"/>
      <c r="L92" s="12"/>
      <c r="M92" s="12" t="s">
        <v>242</v>
      </c>
    </row>
    <row r="93" customFormat="false" ht="15" hidden="false" customHeight="true" outlineLevel="0" collapsed="false">
      <c r="A93" s="12" t="s">
        <v>337</v>
      </c>
      <c r="B93" s="12" t="s">
        <v>205</v>
      </c>
      <c r="C93" s="12" t="s">
        <v>250</v>
      </c>
      <c r="D93" s="12" t="s">
        <v>77</v>
      </c>
      <c r="E93" s="12" t="s">
        <v>36</v>
      </c>
      <c r="F93" s="14" t="n">
        <v>46001</v>
      </c>
      <c r="G93" s="12"/>
      <c r="H93" s="12"/>
      <c r="I93" s="12"/>
      <c r="J93" s="12" t="s">
        <v>241</v>
      </c>
      <c r="K93" s="14"/>
      <c r="L93" s="12"/>
      <c r="M93" s="12" t="s">
        <v>242</v>
      </c>
    </row>
    <row r="94" customFormat="false" ht="15" hidden="false" customHeight="true" outlineLevel="0" collapsed="false">
      <c r="A94" s="12" t="s">
        <v>338</v>
      </c>
      <c r="B94" s="12" t="s">
        <v>206</v>
      </c>
      <c r="C94" s="12" t="s">
        <v>240</v>
      </c>
      <c r="D94" s="12" t="s">
        <v>82</v>
      </c>
      <c r="E94" s="12" t="s">
        <v>41</v>
      </c>
      <c r="F94" s="14" t="n">
        <v>46225</v>
      </c>
      <c r="G94" s="12"/>
      <c r="H94" s="12"/>
      <c r="I94" s="12"/>
      <c r="J94" s="12" t="s">
        <v>241</v>
      </c>
      <c r="K94" s="14"/>
      <c r="L94" s="12"/>
      <c r="M94" s="12" t="s">
        <v>242</v>
      </c>
    </row>
    <row r="95" customFormat="false" ht="15" hidden="false" customHeight="true" outlineLevel="0" collapsed="false">
      <c r="A95" s="12" t="s">
        <v>339</v>
      </c>
      <c r="B95" s="12" t="s">
        <v>208</v>
      </c>
      <c r="C95" s="12" t="s">
        <v>240</v>
      </c>
      <c r="D95" s="12" t="s">
        <v>47</v>
      </c>
      <c r="E95" s="12" t="s">
        <v>36</v>
      </c>
      <c r="F95" s="14" t="n">
        <v>46229</v>
      </c>
      <c r="G95" s="12" t="s">
        <v>102</v>
      </c>
      <c r="H95" s="12" t="s">
        <v>105</v>
      </c>
      <c r="I95" s="12"/>
      <c r="J95" s="12" t="s">
        <v>241</v>
      </c>
      <c r="K95" s="14"/>
      <c r="L95" s="12"/>
      <c r="M95" s="12" t="s">
        <v>242</v>
      </c>
    </row>
    <row r="96" customFormat="false" ht="15" hidden="false" customHeight="true" outlineLevel="0" collapsed="false">
      <c r="A96" s="12" t="s">
        <v>340</v>
      </c>
      <c r="B96" s="12" t="s">
        <v>209</v>
      </c>
      <c r="C96" s="12" t="s">
        <v>240</v>
      </c>
      <c r="D96" s="12" t="s">
        <v>47</v>
      </c>
      <c r="E96" s="12" t="s">
        <v>41</v>
      </c>
      <c r="F96" s="14" t="n">
        <v>46229</v>
      </c>
      <c r="G96" s="12" t="s">
        <v>102</v>
      </c>
      <c r="H96" s="12" t="s">
        <v>105</v>
      </c>
      <c r="I96" s="12"/>
      <c r="J96" s="12" t="s">
        <v>241</v>
      </c>
      <c r="K96" s="14"/>
      <c r="L96" s="12"/>
      <c r="M96" s="12" t="s">
        <v>242</v>
      </c>
    </row>
    <row r="97" customFormat="false" ht="15" hidden="false" customHeight="true" outlineLevel="0" collapsed="false">
      <c r="A97" s="12" t="s">
        <v>341</v>
      </c>
      <c r="B97" s="12" t="s">
        <v>210</v>
      </c>
      <c r="C97" s="12" t="s">
        <v>240</v>
      </c>
      <c r="D97" s="12" t="s">
        <v>47</v>
      </c>
      <c r="E97" s="12" t="s">
        <v>41</v>
      </c>
      <c r="F97" s="14" t="n">
        <v>46272</v>
      </c>
      <c r="G97" s="12" t="s">
        <v>102</v>
      </c>
      <c r="H97" s="12" t="s">
        <v>105</v>
      </c>
      <c r="I97" s="12"/>
      <c r="J97" s="12" t="s">
        <v>241</v>
      </c>
      <c r="K97" s="14"/>
      <c r="L97" s="12"/>
      <c r="M97" s="12" t="s">
        <v>242</v>
      </c>
    </row>
    <row r="98" customFormat="false" ht="15" hidden="false" customHeight="true" outlineLevel="0" collapsed="false">
      <c r="A98" s="12" t="s">
        <v>342</v>
      </c>
      <c r="B98" s="12" t="s">
        <v>210</v>
      </c>
      <c r="C98" s="12" t="s">
        <v>244</v>
      </c>
      <c r="D98" s="12" t="s">
        <v>47</v>
      </c>
      <c r="E98" s="12" t="s">
        <v>41</v>
      </c>
      <c r="F98" s="14" t="n">
        <v>46272</v>
      </c>
      <c r="G98" s="12" t="s">
        <v>102</v>
      </c>
      <c r="H98" s="12" t="s">
        <v>105</v>
      </c>
      <c r="I98" s="12"/>
      <c r="J98" s="12" t="s">
        <v>241</v>
      </c>
      <c r="K98" s="14"/>
      <c r="L98" s="12"/>
      <c r="M98" s="12" t="s">
        <v>242</v>
      </c>
    </row>
    <row r="99" customFormat="false" ht="15" hidden="false" customHeight="true" outlineLevel="0" collapsed="false">
      <c r="A99" s="12" t="s">
        <v>343</v>
      </c>
      <c r="B99" s="12" t="s">
        <v>210</v>
      </c>
      <c r="C99" s="12" t="s">
        <v>250</v>
      </c>
      <c r="D99" s="12" t="s">
        <v>47</v>
      </c>
      <c r="E99" s="12" t="s">
        <v>41</v>
      </c>
      <c r="F99" s="14" t="n">
        <v>46272</v>
      </c>
      <c r="G99" s="12" t="s">
        <v>102</v>
      </c>
      <c r="H99" s="12" t="s">
        <v>105</v>
      </c>
      <c r="I99" s="12"/>
      <c r="J99" s="12" t="s">
        <v>241</v>
      </c>
      <c r="K99" s="14"/>
      <c r="L99" s="12"/>
      <c r="M99" s="12" t="s">
        <v>242</v>
      </c>
    </row>
    <row r="100" customFormat="false" ht="15" hidden="false" customHeight="true" outlineLevel="0" collapsed="false">
      <c r="A100" s="12" t="s">
        <v>344</v>
      </c>
      <c r="B100" s="12" t="s">
        <v>211</v>
      </c>
      <c r="C100" s="12" t="s">
        <v>240</v>
      </c>
      <c r="D100" s="12" t="s">
        <v>89</v>
      </c>
      <c r="E100" s="12" t="s">
        <v>36</v>
      </c>
      <c r="F100" s="14" t="n">
        <v>46229</v>
      </c>
      <c r="G100" s="12" t="s">
        <v>88</v>
      </c>
      <c r="H100" s="12" t="s">
        <v>92</v>
      </c>
      <c r="I100" s="12" t="s">
        <v>53</v>
      </c>
      <c r="J100" s="12" t="s">
        <v>241</v>
      </c>
      <c r="K100" s="14"/>
      <c r="L100" s="12"/>
      <c r="M100" s="12" t="s">
        <v>242</v>
      </c>
    </row>
    <row r="101" customFormat="false" ht="15" hidden="false" customHeight="true" outlineLevel="0" collapsed="false">
      <c r="A101" s="12" t="s">
        <v>345</v>
      </c>
      <c r="B101" s="12" t="s">
        <v>211</v>
      </c>
      <c r="C101" s="12" t="s">
        <v>244</v>
      </c>
      <c r="D101" s="12" t="s">
        <v>89</v>
      </c>
      <c r="E101" s="12" t="s">
        <v>36</v>
      </c>
      <c r="F101" s="14" t="n">
        <v>46229</v>
      </c>
      <c r="G101" s="12" t="s">
        <v>88</v>
      </c>
      <c r="H101" s="12" t="s">
        <v>92</v>
      </c>
      <c r="I101" s="12" t="s">
        <v>53</v>
      </c>
      <c r="J101" s="12" t="s">
        <v>241</v>
      </c>
      <c r="K101" s="14"/>
      <c r="L101" s="12"/>
      <c r="M101" s="12" t="s">
        <v>242</v>
      </c>
    </row>
    <row r="102" customFormat="false" ht="15" hidden="false" customHeight="true" outlineLevel="0" collapsed="false">
      <c r="A102" s="12" t="s">
        <v>346</v>
      </c>
      <c r="B102" s="12" t="s">
        <v>211</v>
      </c>
      <c r="C102" s="12" t="s">
        <v>250</v>
      </c>
      <c r="D102" s="12" t="s">
        <v>89</v>
      </c>
      <c r="E102" s="12" t="s">
        <v>36</v>
      </c>
      <c r="F102" s="14" t="n">
        <v>46229</v>
      </c>
      <c r="G102" s="12" t="s">
        <v>88</v>
      </c>
      <c r="H102" s="12" t="s">
        <v>92</v>
      </c>
      <c r="I102" s="12" t="s">
        <v>53</v>
      </c>
      <c r="J102" s="12" t="s">
        <v>241</v>
      </c>
      <c r="K102" s="14"/>
      <c r="L102" s="12"/>
      <c r="M102" s="12" t="s">
        <v>242</v>
      </c>
    </row>
    <row r="103" customFormat="false" ht="15" hidden="false" customHeight="true" outlineLevel="0" collapsed="false">
      <c r="A103" s="12" t="s">
        <v>347</v>
      </c>
      <c r="B103" s="12" t="s">
        <v>212</v>
      </c>
      <c r="C103" s="12" t="s">
        <v>240</v>
      </c>
      <c r="D103" s="12" t="s">
        <v>67</v>
      </c>
      <c r="E103" s="12" t="s">
        <v>36</v>
      </c>
      <c r="F103" s="14" t="n">
        <v>46010</v>
      </c>
      <c r="G103" s="12"/>
      <c r="H103" s="12"/>
      <c r="I103" s="12"/>
      <c r="J103" s="12" t="s">
        <v>241</v>
      </c>
      <c r="K103" s="14"/>
      <c r="L103" s="12"/>
      <c r="M103" s="12" t="s">
        <v>242</v>
      </c>
    </row>
    <row r="104" customFormat="false" ht="15" hidden="false" customHeight="true" outlineLevel="0" collapsed="false">
      <c r="A104" s="12" t="s">
        <v>348</v>
      </c>
      <c r="B104" s="12" t="s">
        <v>212</v>
      </c>
      <c r="C104" s="12" t="s">
        <v>244</v>
      </c>
      <c r="D104" s="12" t="s">
        <v>67</v>
      </c>
      <c r="E104" s="12" t="s">
        <v>36</v>
      </c>
      <c r="F104" s="14" t="n">
        <v>46010</v>
      </c>
      <c r="G104" s="12"/>
      <c r="H104" s="12"/>
      <c r="I104" s="12"/>
      <c r="J104" s="12" t="s">
        <v>241</v>
      </c>
      <c r="K104" s="14"/>
      <c r="L104" s="12"/>
      <c r="M104" s="12" t="s">
        <v>242</v>
      </c>
    </row>
    <row r="105" customFormat="false" ht="15" hidden="false" customHeight="true" outlineLevel="0" collapsed="false">
      <c r="A105" s="12" t="s">
        <v>349</v>
      </c>
      <c r="B105" s="12" t="s">
        <v>212</v>
      </c>
      <c r="C105" s="12" t="s">
        <v>250</v>
      </c>
      <c r="D105" s="12" t="s">
        <v>67</v>
      </c>
      <c r="E105" s="12" t="s">
        <v>36</v>
      </c>
      <c r="F105" s="14" t="n">
        <v>46010</v>
      </c>
      <c r="G105" s="12"/>
      <c r="H105" s="12"/>
      <c r="I105" s="12"/>
      <c r="J105" s="12" t="s">
        <v>241</v>
      </c>
      <c r="K105" s="14"/>
      <c r="L105" s="12"/>
      <c r="M105" s="12" t="s">
        <v>242</v>
      </c>
    </row>
    <row r="106" customFormat="false" ht="15" hidden="false" customHeight="true" outlineLevel="0" collapsed="false">
      <c r="A106" s="12" t="s">
        <v>350</v>
      </c>
      <c r="B106" s="12" t="s">
        <v>213</v>
      </c>
      <c r="C106" s="12" t="s">
        <v>240</v>
      </c>
      <c r="D106" s="12" t="s">
        <v>89</v>
      </c>
      <c r="E106" s="12" t="s">
        <v>41</v>
      </c>
      <c r="F106" s="14" t="n">
        <v>46022</v>
      </c>
      <c r="G106" s="12"/>
      <c r="H106" s="12"/>
      <c r="I106" s="12" t="s">
        <v>53</v>
      </c>
      <c r="J106" s="12" t="s">
        <v>241</v>
      </c>
      <c r="K106" s="14"/>
      <c r="L106" s="12"/>
      <c r="M106" s="12" t="s">
        <v>242</v>
      </c>
    </row>
    <row r="107" customFormat="false" ht="15" hidden="false" customHeight="true" outlineLevel="0" collapsed="false">
      <c r="A107" s="12" t="s">
        <v>351</v>
      </c>
      <c r="B107" s="12" t="s">
        <v>213</v>
      </c>
      <c r="C107" s="12" t="s">
        <v>244</v>
      </c>
      <c r="D107" s="12" t="s">
        <v>89</v>
      </c>
      <c r="E107" s="12" t="s">
        <v>41</v>
      </c>
      <c r="F107" s="14" t="n">
        <v>46022</v>
      </c>
      <c r="G107" s="12"/>
      <c r="H107" s="12"/>
      <c r="I107" s="12" t="s">
        <v>53</v>
      </c>
      <c r="J107" s="12" t="s">
        <v>241</v>
      </c>
      <c r="K107" s="14"/>
      <c r="L107" s="12"/>
      <c r="M107" s="12" t="s">
        <v>242</v>
      </c>
    </row>
    <row r="108" customFormat="false" ht="15" hidden="false" customHeight="true" outlineLevel="0" collapsed="false">
      <c r="A108" s="12" t="s">
        <v>352</v>
      </c>
      <c r="B108" s="12" t="s">
        <v>213</v>
      </c>
      <c r="C108" s="12" t="s">
        <v>250</v>
      </c>
      <c r="D108" s="12" t="s">
        <v>89</v>
      </c>
      <c r="E108" s="12" t="s">
        <v>41</v>
      </c>
      <c r="F108" s="14" t="n">
        <v>46022</v>
      </c>
      <c r="G108" s="12"/>
      <c r="H108" s="12"/>
      <c r="I108" s="12" t="s">
        <v>53</v>
      </c>
      <c r="J108" s="12" t="s">
        <v>241</v>
      </c>
      <c r="K108" s="14"/>
      <c r="L108" s="12"/>
      <c r="M108" s="12" t="s">
        <v>242</v>
      </c>
    </row>
    <row r="109" customFormat="false" ht="15" hidden="false" customHeight="true" outlineLevel="0" collapsed="false">
      <c r="A109" s="12" t="s">
        <v>353</v>
      </c>
      <c r="B109" s="12" t="s">
        <v>213</v>
      </c>
      <c r="C109" s="12" t="s">
        <v>257</v>
      </c>
      <c r="D109" s="12" t="s">
        <v>89</v>
      </c>
      <c r="E109" s="12" t="s">
        <v>41</v>
      </c>
      <c r="F109" s="14" t="n">
        <v>46022</v>
      </c>
      <c r="G109" s="12"/>
      <c r="H109" s="12"/>
      <c r="I109" s="12" t="s">
        <v>53</v>
      </c>
      <c r="J109" s="12" t="s">
        <v>241</v>
      </c>
      <c r="K109" s="14"/>
      <c r="L109" s="12"/>
      <c r="M109" s="12" t="s">
        <v>242</v>
      </c>
    </row>
    <row r="110" customFormat="false" ht="15" hidden="false" customHeight="true" outlineLevel="0" collapsed="false">
      <c r="A110" s="12" t="s">
        <v>354</v>
      </c>
      <c r="B110" s="12" t="s">
        <v>213</v>
      </c>
      <c r="C110" s="12" t="s">
        <v>302</v>
      </c>
      <c r="D110" s="12" t="s">
        <v>89</v>
      </c>
      <c r="E110" s="12" t="s">
        <v>41</v>
      </c>
      <c r="F110" s="14" t="n">
        <v>46022</v>
      </c>
      <c r="G110" s="12"/>
      <c r="H110" s="12"/>
      <c r="I110" s="12" t="s">
        <v>53</v>
      </c>
      <c r="J110" s="12" t="s">
        <v>241</v>
      </c>
      <c r="K110" s="14"/>
      <c r="L110" s="12"/>
      <c r="M110" s="12" t="s">
        <v>242</v>
      </c>
    </row>
    <row r="111" customFormat="false" ht="15" hidden="false" customHeight="true" outlineLevel="0" collapsed="false">
      <c r="A111" s="12" t="s">
        <v>355</v>
      </c>
      <c r="B111" s="12" t="s">
        <v>214</v>
      </c>
      <c r="C111" s="12" t="s">
        <v>240</v>
      </c>
      <c r="D111" s="12" t="s">
        <v>72</v>
      </c>
      <c r="E111" s="12" t="s">
        <v>41</v>
      </c>
      <c r="F111" s="14" t="n">
        <v>45944</v>
      </c>
      <c r="G111" s="12"/>
      <c r="H111" s="12"/>
      <c r="I111" s="12"/>
      <c r="J111" s="12" t="s">
        <v>241</v>
      </c>
      <c r="K111" s="14"/>
      <c r="L111" s="12"/>
      <c r="M111" s="12" t="s">
        <v>242</v>
      </c>
    </row>
    <row r="112" customFormat="false" ht="15" hidden="false" customHeight="true" outlineLevel="0" collapsed="false">
      <c r="A112" s="12" t="s">
        <v>356</v>
      </c>
      <c r="B112" s="12" t="s">
        <v>216</v>
      </c>
      <c r="C112" s="12" t="s">
        <v>240</v>
      </c>
      <c r="D112" s="12" t="s">
        <v>35</v>
      </c>
      <c r="E112" s="12" t="s">
        <v>41</v>
      </c>
      <c r="F112" s="14" t="n">
        <v>45814</v>
      </c>
      <c r="G112" s="12"/>
      <c r="H112" s="12"/>
      <c r="I112" s="12"/>
      <c r="J112" s="12" t="s">
        <v>241</v>
      </c>
      <c r="K112" s="14"/>
      <c r="L112" s="12"/>
      <c r="M112" s="12" t="s">
        <v>242</v>
      </c>
    </row>
    <row r="113" customFormat="false" ht="15" hidden="false" customHeight="true" outlineLevel="0" collapsed="false">
      <c r="A113" s="12" t="s">
        <v>357</v>
      </c>
      <c r="B113" s="12" t="s">
        <v>216</v>
      </c>
      <c r="C113" s="12" t="s">
        <v>244</v>
      </c>
      <c r="D113" s="12" t="s">
        <v>35</v>
      </c>
      <c r="E113" s="12" t="s">
        <v>41</v>
      </c>
      <c r="F113" s="14" t="n">
        <v>45814</v>
      </c>
      <c r="G113" s="12"/>
      <c r="H113" s="12"/>
      <c r="I113" s="12"/>
      <c r="J113" s="12" t="s">
        <v>241</v>
      </c>
      <c r="K113" s="14"/>
      <c r="L113" s="12"/>
      <c r="M113" s="12" t="s">
        <v>242</v>
      </c>
    </row>
    <row r="114" customFormat="false" ht="15" hidden="false" customHeight="true" outlineLevel="0" collapsed="false">
      <c r="A114" s="12" t="s">
        <v>358</v>
      </c>
      <c r="B114" s="12" t="s">
        <v>218</v>
      </c>
      <c r="C114" s="12" t="s">
        <v>240</v>
      </c>
      <c r="D114" s="12" t="s">
        <v>77</v>
      </c>
      <c r="E114" s="12" t="s">
        <v>36</v>
      </c>
      <c r="F114" s="14" t="n">
        <v>46069</v>
      </c>
      <c r="G114" s="12"/>
      <c r="H114" s="12"/>
      <c r="I114" s="12"/>
      <c r="J114" s="12" t="s">
        <v>241</v>
      </c>
      <c r="K114" s="14"/>
      <c r="L114" s="12"/>
      <c r="M114" s="12" t="s">
        <v>242</v>
      </c>
    </row>
    <row r="115" customFormat="false" ht="15" hidden="false" customHeight="true" outlineLevel="0" collapsed="false">
      <c r="A115" s="12" t="s">
        <v>359</v>
      </c>
      <c r="B115" s="12" t="s">
        <v>218</v>
      </c>
      <c r="C115" s="12" t="s">
        <v>244</v>
      </c>
      <c r="D115" s="12" t="s">
        <v>77</v>
      </c>
      <c r="E115" s="12" t="s">
        <v>36</v>
      </c>
      <c r="F115" s="14" t="n">
        <v>46069</v>
      </c>
      <c r="G115" s="12"/>
      <c r="H115" s="12"/>
      <c r="I115" s="12"/>
      <c r="J115" s="12" t="s">
        <v>241</v>
      </c>
      <c r="K115" s="14"/>
      <c r="L115" s="12"/>
      <c r="M115" s="12" t="s">
        <v>242</v>
      </c>
    </row>
    <row r="116" customFormat="false" ht="15" hidden="false" customHeight="true" outlineLevel="0" collapsed="false">
      <c r="A116" s="12" t="s">
        <v>360</v>
      </c>
      <c r="B116" s="12" t="s">
        <v>218</v>
      </c>
      <c r="C116" s="12" t="s">
        <v>250</v>
      </c>
      <c r="D116" s="12" t="s">
        <v>77</v>
      </c>
      <c r="E116" s="12" t="s">
        <v>36</v>
      </c>
      <c r="F116" s="14" t="n">
        <v>46069</v>
      </c>
      <c r="G116" s="12"/>
      <c r="H116" s="12"/>
      <c r="I116" s="12"/>
      <c r="J116" s="12" t="s">
        <v>241</v>
      </c>
      <c r="K116" s="14"/>
      <c r="L116" s="12"/>
      <c r="M116" s="12" t="s">
        <v>242</v>
      </c>
    </row>
    <row r="117" customFormat="false" ht="15" hidden="false" customHeight="true" outlineLevel="0" collapsed="false">
      <c r="A117" s="12" t="s">
        <v>361</v>
      </c>
      <c r="B117" s="12" t="s">
        <v>219</v>
      </c>
      <c r="C117" s="12" t="s">
        <v>240</v>
      </c>
      <c r="D117" s="12" t="s">
        <v>82</v>
      </c>
      <c r="E117" s="12" t="s">
        <v>41</v>
      </c>
      <c r="F117" s="14" t="n">
        <v>46180</v>
      </c>
      <c r="G117" s="12"/>
      <c r="H117" s="12"/>
      <c r="I117" s="12"/>
      <c r="J117" s="12" t="s">
        <v>241</v>
      </c>
      <c r="K117" s="14"/>
      <c r="L117" s="12"/>
      <c r="M117" s="12" t="s">
        <v>242</v>
      </c>
    </row>
    <row r="118" customFormat="false" ht="15" hidden="false" customHeight="true" outlineLevel="0" collapsed="false">
      <c r="A118" s="12" t="s">
        <v>362</v>
      </c>
      <c r="B118" s="12" t="s">
        <v>220</v>
      </c>
      <c r="C118" s="12" t="s">
        <v>240</v>
      </c>
      <c r="D118" s="12" t="s">
        <v>89</v>
      </c>
      <c r="E118" s="12" t="s">
        <v>36</v>
      </c>
      <c r="F118" s="14" t="n">
        <v>45959</v>
      </c>
      <c r="G118" s="12"/>
      <c r="H118" s="12"/>
      <c r="I118" s="12" t="s">
        <v>53</v>
      </c>
      <c r="J118" s="12" t="s">
        <v>241</v>
      </c>
      <c r="K118" s="14"/>
      <c r="L118" s="12"/>
      <c r="M118" s="12" t="s">
        <v>242</v>
      </c>
    </row>
    <row r="119" customFormat="false" ht="15" hidden="false" customHeight="true" outlineLevel="0" collapsed="false">
      <c r="A119" s="12" t="s">
        <v>363</v>
      </c>
      <c r="B119" s="12" t="s">
        <v>220</v>
      </c>
      <c r="C119" s="12" t="s">
        <v>244</v>
      </c>
      <c r="D119" s="12" t="s">
        <v>89</v>
      </c>
      <c r="E119" s="12" t="s">
        <v>36</v>
      </c>
      <c r="F119" s="14" t="n">
        <v>45959</v>
      </c>
      <c r="G119" s="12"/>
      <c r="H119" s="12"/>
      <c r="I119" s="12" t="s">
        <v>53</v>
      </c>
      <c r="J119" s="12" t="s">
        <v>241</v>
      </c>
      <c r="K119" s="14"/>
      <c r="L119" s="12"/>
      <c r="M119" s="12" t="s">
        <v>242</v>
      </c>
    </row>
    <row r="120" customFormat="false" ht="15" hidden="false" customHeight="true" outlineLevel="0" collapsed="false">
      <c r="A120" s="12" t="s">
        <v>364</v>
      </c>
      <c r="B120" s="12" t="s">
        <v>220</v>
      </c>
      <c r="C120" s="12" t="s">
        <v>250</v>
      </c>
      <c r="D120" s="12" t="s">
        <v>89</v>
      </c>
      <c r="E120" s="12" t="s">
        <v>36</v>
      </c>
      <c r="F120" s="14" t="n">
        <v>45959</v>
      </c>
      <c r="G120" s="12"/>
      <c r="H120" s="12"/>
      <c r="I120" s="12" t="s">
        <v>53</v>
      </c>
      <c r="J120" s="12" t="s">
        <v>241</v>
      </c>
      <c r="K120" s="14"/>
      <c r="L120" s="12"/>
      <c r="M120" s="12" t="s">
        <v>242</v>
      </c>
    </row>
    <row r="121" customFormat="false" ht="15" hidden="false" customHeight="true" outlineLevel="0" collapsed="false">
      <c r="A121" s="12" t="s">
        <v>365</v>
      </c>
      <c r="B121" s="12" t="s">
        <v>221</v>
      </c>
      <c r="C121" s="12" t="s">
        <v>240</v>
      </c>
      <c r="D121" s="12" t="s">
        <v>47</v>
      </c>
      <c r="E121" s="12" t="s">
        <v>36</v>
      </c>
      <c r="F121" s="14" t="n">
        <v>46272</v>
      </c>
      <c r="G121" s="12" t="s">
        <v>102</v>
      </c>
      <c r="H121" s="12" t="s">
        <v>105</v>
      </c>
      <c r="I121" s="12"/>
      <c r="J121" s="12" t="s">
        <v>241</v>
      </c>
      <c r="K121" s="14"/>
      <c r="L121" s="12"/>
      <c r="M121" s="12" t="s">
        <v>242</v>
      </c>
    </row>
    <row r="122" customFormat="false" ht="15" hidden="false" customHeight="true" outlineLevel="0" collapsed="false">
      <c r="A122" s="12" t="s">
        <v>366</v>
      </c>
      <c r="B122" s="12" t="s">
        <v>221</v>
      </c>
      <c r="C122" s="12" t="s">
        <v>244</v>
      </c>
      <c r="D122" s="12" t="s">
        <v>47</v>
      </c>
      <c r="E122" s="12" t="s">
        <v>36</v>
      </c>
      <c r="F122" s="14" t="n">
        <v>46272</v>
      </c>
      <c r="G122" s="12" t="s">
        <v>102</v>
      </c>
      <c r="H122" s="12" t="s">
        <v>105</v>
      </c>
      <c r="I122" s="12"/>
      <c r="J122" s="12" t="s">
        <v>241</v>
      </c>
      <c r="K122" s="14"/>
      <c r="L122" s="12"/>
      <c r="M122" s="12" t="s">
        <v>242</v>
      </c>
    </row>
    <row r="123" customFormat="false" ht="15" hidden="false" customHeight="true" outlineLevel="0" collapsed="false">
      <c r="A123" s="12" t="s">
        <v>367</v>
      </c>
      <c r="B123" s="12" t="s">
        <v>221</v>
      </c>
      <c r="C123" s="12" t="s">
        <v>250</v>
      </c>
      <c r="D123" s="12" t="s">
        <v>47</v>
      </c>
      <c r="E123" s="12" t="s">
        <v>36</v>
      </c>
      <c r="F123" s="14" t="n">
        <v>46272</v>
      </c>
      <c r="G123" s="12" t="s">
        <v>102</v>
      </c>
      <c r="H123" s="12" t="s">
        <v>105</v>
      </c>
      <c r="I123" s="12"/>
      <c r="J123" s="12" t="s">
        <v>241</v>
      </c>
      <c r="K123" s="14"/>
      <c r="L123" s="12"/>
      <c r="M123" s="12" t="s">
        <v>242</v>
      </c>
    </row>
    <row r="124" customFormat="false" ht="15" hidden="false" customHeight="true" outlineLevel="0" collapsed="false">
      <c r="A124" s="12" t="s">
        <v>368</v>
      </c>
      <c r="B124" s="12" t="s">
        <v>222</v>
      </c>
      <c r="C124" s="12" t="s">
        <v>240</v>
      </c>
      <c r="D124" s="12" t="s">
        <v>47</v>
      </c>
      <c r="E124" s="12" t="s">
        <v>36</v>
      </c>
      <c r="F124" s="14" t="n">
        <v>46272</v>
      </c>
      <c r="G124" s="12" t="s">
        <v>102</v>
      </c>
      <c r="H124" s="12" t="s">
        <v>105</v>
      </c>
      <c r="I124" s="12"/>
      <c r="J124" s="12" t="s">
        <v>241</v>
      </c>
      <c r="K124" s="14"/>
      <c r="L124" s="12"/>
      <c r="M124" s="12" t="s">
        <v>242</v>
      </c>
    </row>
    <row r="125" customFormat="false" ht="15" hidden="false" customHeight="true" outlineLevel="0" collapsed="false">
      <c r="A125" s="12" t="s">
        <v>369</v>
      </c>
      <c r="B125" s="12" t="s">
        <v>222</v>
      </c>
      <c r="C125" s="12" t="s">
        <v>244</v>
      </c>
      <c r="D125" s="12" t="s">
        <v>47</v>
      </c>
      <c r="E125" s="12" t="s">
        <v>36</v>
      </c>
      <c r="F125" s="14" t="n">
        <v>46272</v>
      </c>
      <c r="G125" s="12" t="s">
        <v>102</v>
      </c>
      <c r="H125" s="12" t="s">
        <v>105</v>
      </c>
      <c r="I125" s="12"/>
      <c r="J125" s="12" t="s">
        <v>241</v>
      </c>
      <c r="K125" s="14"/>
      <c r="L125" s="12"/>
      <c r="M125" s="12" t="s">
        <v>242</v>
      </c>
    </row>
    <row r="126" customFormat="false" ht="15" hidden="false" customHeight="true" outlineLevel="0" collapsed="false">
      <c r="A126" s="12" t="s">
        <v>370</v>
      </c>
      <c r="B126" s="12" t="s">
        <v>222</v>
      </c>
      <c r="C126" s="12" t="s">
        <v>250</v>
      </c>
      <c r="D126" s="12" t="s">
        <v>47</v>
      </c>
      <c r="E126" s="12" t="s">
        <v>36</v>
      </c>
      <c r="F126" s="14" t="n">
        <v>46272</v>
      </c>
      <c r="G126" s="12" t="s">
        <v>102</v>
      </c>
      <c r="H126" s="12" t="s">
        <v>105</v>
      </c>
      <c r="I126" s="12"/>
      <c r="J126" s="12" t="s">
        <v>241</v>
      </c>
      <c r="K126" s="14"/>
      <c r="L126" s="12"/>
      <c r="M126" s="12" t="s">
        <v>242</v>
      </c>
    </row>
    <row r="127" customFormat="false" ht="15" hidden="false" customHeight="true" outlineLevel="0" collapsed="false">
      <c r="A127" s="12" t="s">
        <v>371</v>
      </c>
      <c r="B127" s="12" t="s">
        <v>223</v>
      </c>
      <c r="C127" s="12" t="s">
        <v>240</v>
      </c>
      <c r="D127" s="12" t="s">
        <v>67</v>
      </c>
      <c r="E127" s="12" t="s">
        <v>41</v>
      </c>
      <c r="F127" s="14" t="n">
        <v>46076</v>
      </c>
      <c r="G127" s="12"/>
      <c r="H127" s="12"/>
      <c r="I127" s="12"/>
      <c r="J127" s="12" t="s">
        <v>241</v>
      </c>
      <c r="K127" s="14"/>
      <c r="L127" s="12"/>
      <c r="M127" s="12" t="s">
        <v>242</v>
      </c>
    </row>
    <row r="128" customFormat="false" ht="15" hidden="false" customHeight="true" outlineLevel="0" collapsed="false">
      <c r="A128" s="12" t="s">
        <v>372</v>
      </c>
      <c r="B128" s="12" t="s">
        <v>223</v>
      </c>
      <c r="C128" s="12" t="s">
        <v>244</v>
      </c>
      <c r="D128" s="12" t="s">
        <v>67</v>
      </c>
      <c r="E128" s="12" t="s">
        <v>41</v>
      </c>
      <c r="F128" s="14" t="n">
        <v>46076</v>
      </c>
      <c r="G128" s="12"/>
      <c r="H128" s="12"/>
      <c r="I128" s="12"/>
      <c r="J128" s="12" t="s">
        <v>241</v>
      </c>
      <c r="K128" s="14"/>
      <c r="L128" s="12"/>
      <c r="M128" s="12" t="s">
        <v>242</v>
      </c>
    </row>
    <row r="129" customFormat="false" ht="15" hidden="false" customHeight="true" outlineLevel="0" collapsed="false">
      <c r="A129" s="12" t="s">
        <v>373</v>
      </c>
      <c r="B129" s="12" t="s">
        <v>223</v>
      </c>
      <c r="C129" s="12" t="s">
        <v>250</v>
      </c>
      <c r="D129" s="12" t="s">
        <v>67</v>
      </c>
      <c r="E129" s="12" t="s">
        <v>41</v>
      </c>
      <c r="F129" s="14" t="n">
        <v>46076</v>
      </c>
      <c r="G129" s="12"/>
      <c r="H129" s="12"/>
      <c r="I129" s="12"/>
      <c r="J129" s="12" t="s">
        <v>241</v>
      </c>
      <c r="K129" s="14"/>
      <c r="L129" s="12"/>
      <c r="M129" s="12" t="s">
        <v>242</v>
      </c>
    </row>
    <row r="130" customFormat="false" ht="15" hidden="false" customHeight="true" outlineLevel="0" collapsed="false">
      <c r="A130" s="12" t="s">
        <v>374</v>
      </c>
      <c r="B130" s="12" t="s">
        <v>225</v>
      </c>
      <c r="C130" s="12" t="s">
        <v>240</v>
      </c>
      <c r="D130" s="12" t="s">
        <v>82</v>
      </c>
      <c r="E130" s="12" t="s">
        <v>36</v>
      </c>
      <c r="F130" s="14" t="n">
        <v>45935</v>
      </c>
      <c r="G130" s="12"/>
      <c r="H130" s="12"/>
      <c r="I130" s="12"/>
      <c r="J130" s="12" t="s">
        <v>241</v>
      </c>
      <c r="K130" s="14"/>
      <c r="L130" s="12"/>
      <c r="M130" s="12" t="s">
        <v>242</v>
      </c>
    </row>
    <row r="131" customFormat="false" ht="15" hidden="false" customHeight="true" outlineLevel="0" collapsed="false">
      <c r="A131" s="12" t="s">
        <v>375</v>
      </c>
      <c r="B131" s="12" t="s">
        <v>225</v>
      </c>
      <c r="C131" s="12" t="s">
        <v>244</v>
      </c>
      <c r="D131" s="12" t="s">
        <v>82</v>
      </c>
      <c r="E131" s="12" t="s">
        <v>36</v>
      </c>
      <c r="F131" s="14" t="n">
        <v>45935</v>
      </c>
      <c r="G131" s="12"/>
      <c r="H131" s="12"/>
      <c r="I131" s="12"/>
      <c r="J131" s="12" t="s">
        <v>241</v>
      </c>
      <c r="K131" s="14"/>
      <c r="L131" s="12"/>
      <c r="M131" s="12" t="s">
        <v>242</v>
      </c>
    </row>
    <row r="132" customFormat="false" ht="15" hidden="false" customHeight="true" outlineLevel="0" collapsed="false">
      <c r="A132" s="12" t="s">
        <v>376</v>
      </c>
      <c r="B132" s="12" t="s">
        <v>226</v>
      </c>
      <c r="C132" s="12" t="s">
        <v>240</v>
      </c>
      <c r="D132" s="12" t="s">
        <v>82</v>
      </c>
      <c r="E132" s="12" t="s">
        <v>41</v>
      </c>
      <c r="F132" s="14" t="n">
        <v>45935</v>
      </c>
      <c r="G132" s="12"/>
      <c r="H132" s="12"/>
      <c r="I132" s="12"/>
      <c r="J132" s="12" t="s">
        <v>241</v>
      </c>
      <c r="K132" s="14"/>
      <c r="L132" s="12"/>
      <c r="M132" s="12" t="s">
        <v>242</v>
      </c>
    </row>
    <row r="133" customFormat="false" ht="15" hidden="false" customHeight="true" outlineLevel="0" collapsed="false">
      <c r="A133" s="12" t="s">
        <v>377</v>
      </c>
      <c r="B133" s="12" t="s">
        <v>226</v>
      </c>
      <c r="C133" s="12" t="s">
        <v>244</v>
      </c>
      <c r="D133" s="12" t="s">
        <v>82</v>
      </c>
      <c r="E133" s="12" t="s">
        <v>41</v>
      </c>
      <c r="F133" s="14" t="n">
        <v>45935</v>
      </c>
      <c r="G133" s="12"/>
      <c r="H133" s="12"/>
      <c r="I133" s="12"/>
      <c r="J133" s="12" t="s">
        <v>241</v>
      </c>
      <c r="K133" s="14"/>
      <c r="L133" s="12"/>
      <c r="M133" s="12" t="s">
        <v>242</v>
      </c>
    </row>
    <row r="134" customFormat="false" ht="15" hidden="false" customHeight="true" outlineLevel="0" collapsed="false">
      <c r="A134" s="12" t="s">
        <v>378</v>
      </c>
      <c r="B134" s="12" t="s">
        <v>226</v>
      </c>
      <c r="C134" s="12" t="s">
        <v>250</v>
      </c>
      <c r="D134" s="12" t="s">
        <v>82</v>
      </c>
      <c r="E134" s="12" t="s">
        <v>41</v>
      </c>
      <c r="F134" s="14" t="n">
        <v>45935</v>
      </c>
      <c r="G134" s="12"/>
      <c r="H134" s="12"/>
      <c r="I134" s="12"/>
      <c r="J134" s="12" t="s">
        <v>241</v>
      </c>
      <c r="K134" s="14"/>
      <c r="L134" s="12"/>
      <c r="M134" s="12" t="s">
        <v>242</v>
      </c>
    </row>
    <row r="135" customFormat="false" ht="15" hidden="false" customHeight="true" outlineLevel="0" collapsed="false">
      <c r="A135" s="12" t="s">
        <v>379</v>
      </c>
      <c r="B135" s="12" t="s">
        <v>226</v>
      </c>
      <c r="C135" s="12" t="s">
        <v>257</v>
      </c>
      <c r="D135" s="12" t="s">
        <v>82</v>
      </c>
      <c r="E135" s="12" t="s">
        <v>41</v>
      </c>
      <c r="F135" s="14" t="n">
        <v>45935</v>
      </c>
      <c r="G135" s="12"/>
      <c r="H135" s="12"/>
      <c r="I135" s="12"/>
      <c r="J135" s="12" t="s">
        <v>241</v>
      </c>
      <c r="K135" s="14"/>
      <c r="L135" s="12"/>
      <c r="M135" s="12" t="s">
        <v>242</v>
      </c>
    </row>
    <row r="136" customFormat="false" ht="15" hidden="false" customHeight="true" outlineLevel="0" collapsed="false">
      <c r="A136" s="12" t="s">
        <v>380</v>
      </c>
      <c r="B136" s="12" t="s">
        <v>227</v>
      </c>
      <c r="C136" s="12" t="s">
        <v>240</v>
      </c>
      <c r="D136" s="12" t="s">
        <v>82</v>
      </c>
      <c r="E136" s="12" t="s">
        <v>36</v>
      </c>
      <c r="F136" s="14" t="n">
        <v>46225</v>
      </c>
      <c r="G136" s="12"/>
      <c r="H136" s="12"/>
      <c r="I136" s="12"/>
      <c r="J136" s="12" t="s">
        <v>241</v>
      </c>
      <c r="K136" s="14"/>
      <c r="L136" s="12"/>
      <c r="M136" s="12" t="s">
        <v>242</v>
      </c>
    </row>
    <row r="137" customFormat="false" ht="15" hidden="false" customHeight="true" outlineLevel="0" collapsed="false">
      <c r="A137" s="12" t="s">
        <v>381</v>
      </c>
      <c r="B137" s="12" t="s">
        <v>227</v>
      </c>
      <c r="C137" s="12" t="s">
        <v>244</v>
      </c>
      <c r="D137" s="12" t="s">
        <v>82</v>
      </c>
      <c r="E137" s="12" t="s">
        <v>36</v>
      </c>
      <c r="F137" s="14" t="n">
        <v>46225</v>
      </c>
      <c r="G137" s="12"/>
      <c r="H137" s="12"/>
      <c r="I137" s="12"/>
      <c r="J137" s="12" t="s">
        <v>241</v>
      </c>
      <c r="K137" s="14"/>
      <c r="L137" s="12"/>
      <c r="M137" s="12" t="s">
        <v>242</v>
      </c>
    </row>
    <row r="138" customFormat="false" ht="15" hidden="false" customHeight="true" outlineLevel="0" collapsed="false">
      <c r="A138" s="12" t="s">
        <v>382</v>
      </c>
      <c r="B138" s="12" t="s">
        <v>227</v>
      </c>
      <c r="C138" s="12" t="s">
        <v>250</v>
      </c>
      <c r="D138" s="12" t="s">
        <v>82</v>
      </c>
      <c r="E138" s="12" t="s">
        <v>36</v>
      </c>
      <c r="F138" s="14" t="n">
        <v>46225</v>
      </c>
      <c r="G138" s="12"/>
      <c r="H138" s="12"/>
      <c r="I138" s="12"/>
      <c r="J138" s="12" t="s">
        <v>241</v>
      </c>
      <c r="K138" s="14"/>
      <c r="L138" s="12"/>
      <c r="M138" s="12" t="s">
        <v>242</v>
      </c>
    </row>
    <row r="139" customFormat="false" ht="15" hidden="false" customHeight="true" outlineLevel="0" collapsed="false">
      <c r="A139" s="12" t="s">
        <v>383</v>
      </c>
      <c r="B139" s="12" t="s">
        <v>227</v>
      </c>
      <c r="C139" s="12" t="s">
        <v>257</v>
      </c>
      <c r="D139" s="12" t="s">
        <v>82</v>
      </c>
      <c r="E139" s="12" t="s">
        <v>36</v>
      </c>
      <c r="F139" s="14" t="n">
        <v>46225</v>
      </c>
      <c r="G139" s="12"/>
      <c r="H139" s="12"/>
      <c r="I139" s="12"/>
      <c r="J139" s="12" t="s">
        <v>241</v>
      </c>
      <c r="K139" s="14"/>
      <c r="L139" s="12"/>
      <c r="M139" s="12" t="s">
        <v>242</v>
      </c>
    </row>
  </sheetData>
  <autoFilter ref="A1:N50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0"/>
    <col collapsed="false" customWidth="true" hidden="false" outlineLevel="0" max="3" min="3" style="1" width="9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34"/>
    <col collapsed="false" customWidth="true" hidden="false" outlineLevel="0" max="9" min="7" style="1" width="9"/>
    <col collapsed="false" customWidth="true" hidden="false" outlineLevel="0" max="11" min="10" style="1" width="10"/>
    <col collapsed="false" customWidth="true" hidden="false" outlineLevel="0" max="12" min="12" style="1" width="26"/>
    <col collapsed="false" customWidth="true" hidden="false" outlineLevel="0" max="14" min="13" style="1" width="30"/>
  </cols>
  <sheetData>
    <row r="1" customFormat="false" ht="30" hidden="false" customHeight="true" outlineLevel="0" collapsed="false">
      <c r="A1" s="5" t="s">
        <v>21</v>
      </c>
      <c r="B1" s="5" t="s">
        <v>384</v>
      </c>
      <c r="C1" s="5" t="s">
        <v>385</v>
      </c>
      <c r="D1" s="5" t="s">
        <v>386</v>
      </c>
      <c r="E1" s="5" t="s">
        <v>387</v>
      </c>
      <c r="F1" s="5" t="s">
        <v>28</v>
      </c>
      <c r="G1" s="6" t="s">
        <v>388</v>
      </c>
      <c r="H1" s="6" t="s">
        <v>389</v>
      </c>
      <c r="I1" s="6" t="s">
        <v>390</v>
      </c>
      <c r="J1" s="6" t="s">
        <v>391</v>
      </c>
      <c r="K1" s="6" t="s">
        <v>392</v>
      </c>
      <c r="L1" s="6" t="s">
        <v>393</v>
      </c>
      <c r="M1" s="5" t="s">
        <v>394</v>
      </c>
      <c r="N1" s="5" t="s">
        <v>395</v>
      </c>
    </row>
    <row r="2" customFormat="false" ht="15" hidden="false" customHeight="true" outlineLevel="0" collapsed="false">
      <c r="A2" s="7" t="s">
        <v>43</v>
      </c>
      <c r="B2" s="7"/>
      <c r="C2" s="7" t="s">
        <v>396</v>
      </c>
      <c r="D2" s="7" t="s">
        <v>397</v>
      </c>
      <c r="E2" s="8"/>
      <c r="F2" s="7" t="s">
        <v>398</v>
      </c>
      <c r="G2" s="9" t="n">
        <f aca="false">COUNTIFS(Pairs!$B$2:$B$1000,A2,Pairs!$G$2:$G$1000,"Active")</f>
        <v>0</v>
      </c>
      <c r="H2" s="9" t="n">
        <f aca="false">COUNTIFS(Pairs!$B$2:$B$1000,A2,Pairs!$M$2:$M$1000,"OVER AGE")</f>
        <v>0</v>
      </c>
      <c r="I2" s="9" t="n">
        <f aca="false">COUNTIFS(Pairs!$B$2:$B$1000,A2,Pairs!$M$2:$M$1000,"Replace soon")</f>
        <v>0</v>
      </c>
      <c r="J2" s="9" t="n">
        <f aca="false">COUNTIFS(Cages!$B$2:$B$1000,A2,Cages!$D$2:$D$1000,"M",Cages!$I$2:$I$1000,"Yes")</f>
        <v>0</v>
      </c>
      <c r="K2" s="9" t="n">
        <f aca="false">COUNTIFS(Cages!$B$2:$B$1000,A2,Cages!$D$2:$D$1000,"F",Cages!$I$2:$I$1000,"Yes")</f>
        <v>0</v>
      </c>
      <c r="L2" s="10" t="str">
        <f aca="false">IF(AND(C2="Y",G2=0),"NO ACTIVE PAIR",IF(H2&gt;0,"Pair over age",IF(I2&gt;0,"Plan replacement","")))</f>
        <v>NO ACTIVE PAIR</v>
      </c>
    </row>
    <row r="3" customFormat="false" ht="15" hidden="false" customHeight="true" outlineLevel="0" collapsed="false">
      <c r="A3" s="7" t="s">
        <v>72</v>
      </c>
      <c r="B3" s="7"/>
      <c r="C3" s="7" t="s">
        <v>396</v>
      </c>
      <c r="D3" s="7" t="s">
        <v>399</v>
      </c>
      <c r="E3" s="8"/>
      <c r="F3" s="7"/>
      <c r="G3" s="9" t="n">
        <f aca="false">COUNTIFS(Pairs!$B$2:$B$1000,A3,Pairs!$G$2:$G$1000,"Active")</f>
        <v>1</v>
      </c>
      <c r="H3" s="9" t="n">
        <f aca="false">COUNTIFS(Pairs!$B$2:$B$1000,A3,Pairs!$M$2:$M$1000,"OVER AGE")</f>
        <v>1</v>
      </c>
      <c r="I3" s="9" t="n">
        <f aca="false">COUNTIFS(Pairs!$B$2:$B$1000,A3,Pairs!$M$2:$M$1000,"Replace soon")</f>
        <v>0</v>
      </c>
      <c r="J3" s="9" t="n">
        <f aca="false">COUNTIFS(Cages!$B$2:$B$1000,A3,Cages!$D$2:$D$1000,"M",Cages!$I$2:$I$1000,"Yes")</f>
        <v>1</v>
      </c>
      <c r="K3" s="9" t="n">
        <f aca="false">COUNTIFS(Cages!$B$2:$B$1000,A3,Cages!$D$2:$D$1000,"F",Cages!$I$2:$I$1000,"Yes")</f>
        <v>2</v>
      </c>
      <c r="L3" s="10" t="str">
        <f aca="false">IF(AND(C3="Y",G3=0),"NO ACTIVE PAIR",IF(H3&gt;0,"Pair over age",IF(I3&gt;0,"Plan replacement","")))</f>
        <v>Pair over age</v>
      </c>
      <c r="M3" s="12" t="s">
        <v>72</v>
      </c>
    </row>
    <row r="4" customFormat="false" ht="15" hidden="false" customHeight="true" outlineLevel="0" collapsed="false">
      <c r="A4" s="7" t="s">
        <v>35</v>
      </c>
      <c r="B4" s="7"/>
      <c r="C4" s="7" t="s">
        <v>396</v>
      </c>
      <c r="D4" s="7" t="s">
        <v>400</v>
      </c>
      <c r="E4" s="8"/>
      <c r="F4" s="7" t="s">
        <v>401</v>
      </c>
      <c r="G4" s="9" t="n">
        <f aca="false">COUNTIFS(Pairs!$B$2:$B$1000,A4,Pairs!$G$2:$G$1000,"Active")</f>
        <v>2</v>
      </c>
      <c r="H4" s="9" t="n">
        <f aca="false">COUNTIFS(Pairs!$B$2:$B$1000,A4,Pairs!$M$2:$M$1000,"OVER AGE")</f>
        <v>0</v>
      </c>
      <c r="I4" s="9" t="n">
        <f aca="false">COUNTIFS(Pairs!$B$2:$B$1000,A4,Pairs!$M$2:$M$1000,"Replace soon")</f>
        <v>1</v>
      </c>
      <c r="J4" s="9" t="n">
        <f aca="false">COUNTIFS(Cages!$B$2:$B$1000,A4,Cages!$D$2:$D$1000,"M",Cages!$I$2:$I$1000,"Yes")</f>
        <v>1</v>
      </c>
      <c r="K4" s="9" t="n">
        <f aca="false">COUNTIFS(Cages!$B$2:$B$1000,A4,Cages!$D$2:$D$1000,"F",Cages!$I$2:$I$1000,"Yes")</f>
        <v>2</v>
      </c>
      <c r="L4" s="10" t="str">
        <f aca="false">IF(AND(C4="Y",G4=0),"NO ACTIVE PAIR",IF(H4&gt;0,"Pair over age",IF(I4&gt;0,"Plan replacement","")))</f>
        <v>Plan replacement</v>
      </c>
      <c r="M4" s="12" t="s">
        <v>402</v>
      </c>
    </row>
    <row r="5" customFormat="false" ht="15" hidden="false" customHeight="true" outlineLevel="0" collapsed="false">
      <c r="A5" s="7" t="s">
        <v>77</v>
      </c>
      <c r="B5" s="7"/>
      <c r="C5" s="7" t="s">
        <v>396</v>
      </c>
      <c r="D5" s="7"/>
      <c r="E5" s="8"/>
      <c r="F5" s="7"/>
      <c r="G5" s="9" t="n">
        <f aca="false">COUNTIFS(Pairs!$B$2:$B$1000,A5,Pairs!$G$2:$G$1000,"Active")</f>
        <v>1</v>
      </c>
      <c r="H5" s="9" t="n">
        <f aca="false">COUNTIFS(Pairs!$B$2:$B$1000,A5,Pairs!$M$2:$M$1000,"OVER AGE")</f>
        <v>0</v>
      </c>
      <c r="I5" s="9" t="n">
        <f aca="false">COUNTIFS(Pairs!$B$2:$B$1000,A5,Pairs!$M$2:$M$1000,"Replace soon")</f>
        <v>0</v>
      </c>
      <c r="J5" s="9" t="n">
        <f aca="false">COUNTIFS(Cages!$B$2:$B$1000,A5,Cages!$D$2:$D$1000,"M",Cages!$I$2:$I$1000,"Yes")</f>
        <v>0</v>
      </c>
      <c r="K5" s="9" t="n">
        <f aca="false">COUNTIFS(Cages!$B$2:$B$1000,A5,Cages!$D$2:$D$1000,"F",Cages!$I$2:$I$1000,"Yes")</f>
        <v>1</v>
      </c>
      <c r="L5" s="10" t="str">
        <f aca="false">IF(AND(C5="Y",G5=0),"NO ACTIVE PAIR",IF(H5&gt;0,"Pair over age",IF(I5&gt;0,"Plan replacement","")))</f>
        <v/>
      </c>
      <c r="M5" s="12" t="s">
        <v>403</v>
      </c>
    </row>
    <row r="6" customFormat="false" ht="15" hidden="false" customHeight="true" outlineLevel="0" collapsed="false">
      <c r="A6" s="7" t="s">
        <v>67</v>
      </c>
      <c r="B6" s="7"/>
      <c r="C6" s="7" t="s">
        <v>396</v>
      </c>
      <c r="D6" s="7"/>
      <c r="E6" s="8"/>
      <c r="F6" s="7" t="s">
        <v>404</v>
      </c>
      <c r="G6" s="9" t="n">
        <f aca="false">COUNTIFS(Pairs!$B$2:$B$1000,A6,Pairs!$G$2:$G$1000,"Active")</f>
        <v>1</v>
      </c>
      <c r="H6" s="9" t="n">
        <f aca="false">COUNTIFS(Pairs!$B$2:$B$1000,A6,Pairs!$M$2:$M$1000,"OVER AGE")</f>
        <v>0</v>
      </c>
      <c r="I6" s="9" t="n">
        <f aca="false">COUNTIFS(Pairs!$B$2:$B$1000,A6,Pairs!$M$2:$M$1000,"Replace soon")</f>
        <v>0</v>
      </c>
      <c r="J6" s="9" t="n">
        <f aca="false">COUNTIFS(Cages!$B$2:$B$1000,A6,Cages!$D$2:$D$1000,"M",Cages!$I$2:$I$1000,"Yes")</f>
        <v>1</v>
      </c>
      <c r="K6" s="9" t="n">
        <f aca="false">COUNTIFS(Cages!$B$2:$B$1000,A6,Cages!$D$2:$D$1000,"F",Cages!$I$2:$I$1000,"Yes")</f>
        <v>1</v>
      </c>
      <c r="L6" s="10" t="str">
        <f aca="false">IF(AND(C6="Y",G6=0),"NO ACTIVE PAIR",IF(H6&gt;0,"Pair over age",IF(I6&gt;0,"Plan replacement","")))</f>
        <v/>
      </c>
      <c r="M6" s="12" t="s">
        <v>405</v>
      </c>
      <c r="N6" s="12" t="s">
        <v>406</v>
      </c>
    </row>
    <row r="7" customFormat="false" ht="15" hidden="false" customHeight="true" outlineLevel="0" collapsed="false">
      <c r="A7" s="7" t="s">
        <v>89</v>
      </c>
      <c r="B7" s="7"/>
      <c r="C7" s="7"/>
      <c r="D7" s="7"/>
      <c r="E7" s="8"/>
      <c r="F7" s="7"/>
      <c r="G7" s="9" t="n">
        <f aca="false">COUNTIFS(Pairs!$B$2:$B$1000,A7,Pairs!$G$2:$G$1000,"Active")</f>
        <v>2</v>
      </c>
      <c r="H7" s="9" t="n">
        <f aca="false">COUNTIFS(Pairs!$B$2:$B$1000,A7,Pairs!$M$2:$M$1000,"OVER AGE")</f>
        <v>0</v>
      </c>
      <c r="I7" s="9" t="n">
        <f aca="false">COUNTIFS(Pairs!$B$2:$B$1000,A7,Pairs!$M$2:$M$1000,"Replace soon")</f>
        <v>1</v>
      </c>
      <c r="J7" s="9" t="n">
        <f aca="false">COUNTIFS(Cages!$B$2:$B$1000,A7,Cages!$D$2:$D$1000,"M",Cages!$I$2:$I$1000,"Yes")</f>
        <v>0</v>
      </c>
      <c r="K7" s="9" t="n">
        <f aca="false">COUNTIFS(Cages!$B$2:$B$1000,A7,Cages!$D$2:$D$1000,"F",Cages!$I$2:$I$1000,"Yes")</f>
        <v>1</v>
      </c>
      <c r="L7" s="10" t="str">
        <f aca="false">IF(AND(C7="Y",G7=0),"NO ACTIVE PAIR",IF(H7&gt;0,"Pair over age",IF(I7&gt;0,"Plan replacement","")))</f>
        <v>Plan replacement</v>
      </c>
      <c r="M7" s="12" t="s">
        <v>407</v>
      </c>
    </row>
    <row r="8" customFormat="false" ht="15" hidden="false" customHeight="true" outlineLevel="0" collapsed="false">
      <c r="A8" s="7" t="s">
        <v>47</v>
      </c>
      <c r="B8" s="7" t="s">
        <v>408</v>
      </c>
      <c r="C8" s="7"/>
      <c r="D8" s="7" t="s">
        <v>409</v>
      </c>
      <c r="E8" s="8"/>
      <c r="F8" s="7" t="s">
        <v>410</v>
      </c>
      <c r="G8" s="9" t="n">
        <f aca="false">COUNTIFS(Pairs!$B$2:$B$1000,A8,Pairs!$G$2:$G$1000,"Active")</f>
        <v>4</v>
      </c>
      <c r="H8" s="9" t="n">
        <f aca="false">COUNTIFS(Pairs!$B$2:$B$1000,A8,Pairs!$M$2:$M$1000,"OVER AGE")</f>
        <v>3</v>
      </c>
      <c r="I8" s="9" t="n">
        <f aca="false">COUNTIFS(Pairs!$B$2:$B$1000,A8,Pairs!$M$2:$M$1000,"Replace soon")</f>
        <v>0</v>
      </c>
      <c r="J8" s="9" t="n">
        <f aca="false">COUNTIFS(Cages!$B$2:$B$1000,A8,Cages!$D$2:$D$1000,"M",Cages!$I$2:$I$1000,"Yes")</f>
        <v>4</v>
      </c>
      <c r="K8" s="9" t="n">
        <f aca="false">COUNTIFS(Cages!$B$2:$B$1000,A8,Cages!$D$2:$D$1000,"F",Cages!$I$2:$I$1000,"Yes")</f>
        <v>6</v>
      </c>
      <c r="L8" s="10" t="str">
        <f aca="false">IF(AND(C8="Y",G8=0),"NO ACTIVE PAIR",IF(H8&gt;0,"Pair over age",IF(I8&gt;0,"Plan replacement","")))</f>
        <v>Pair over age</v>
      </c>
      <c r="M8" s="12" t="s">
        <v>407</v>
      </c>
    </row>
    <row r="9" customFormat="false" ht="15" hidden="false" customHeight="true" outlineLevel="0" collapsed="false">
      <c r="A9" s="7" t="s">
        <v>82</v>
      </c>
      <c r="B9" s="7"/>
      <c r="C9" s="7"/>
      <c r="D9" s="7"/>
      <c r="E9" s="8"/>
      <c r="F9" s="7" t="s">
        <v>411</v>
      </c>
      <c r="G9" s="9" t="n">
        <f aca="false">COUNTIFS(Pairs!$B$2:$B$1000,A9,Pairs!$G$2:$G$1000,"Active")</f>
        <v>1</v>
      </c>
      <c r="H9" s="9" t="n">
        <f aca="false">COUNTIFS(Pairs!$B$2:$B$1000,A9,Pairs!$M$2:$M$1000,"OVER AGE")</f>
        <v>0</v>
      </c>
      <c r="I9" s="9" t="n">
        <f aca="false">COUNTIFS(Pairs!$B$2:$B$1000,A9,Pairs!$M$2:$M$1000,"Replace soon")</f>
        <v>1</v>
      </c>
      <c r="J9" s="9" t="n">
        <f aca="false">COUNTIFS(Cages!$B$2:$B$1000,A9,Cages!$D$2:$D$1000,"M",Cages!$I$2:$I$1000,"Yes")</f>
        <v>4</v>
      </c>
      <c r="K9" s="9" t="n">
        <f aca="false">COUNTIFS(Cages!$B$2:$B$1000,A9,Cages!$D$2:$D$1000,"F",Cages!$I$2:$I$1000,"Yes")</f>
        <v>3</v>
      </c>
      <c r="L9" s="10" t="str">
        <f aca="false">IF(AND(C9="Y",G9=0),"NO ACTIVE PAIR",IF(H9&gt;0,"Pair over age",IF(I9&gt;0,"Plan replacement","")))</f>
        <v>Plan replacement</v>
      </c>
      <c r="M9" s="12" t="s">
        <v>412</v>
      </c>
      <c r="N9" s="12" t="s">
        <v>413</v>
      </c>
    </row>
    <row r="10" customFormat="false" ht="15" hidden="false" customHeight="true" outlineLevel="0" collapsed="false">
      <c r="A10" s="7" t="s">
        <v>98</v>
      </c>
      <c r="B10" s="7"/>
      <c r="C10" s="7"/>
      <c r="D10" s="7"/>
      <c r="E10" s="8"/>
      <c r="F10" s="7" t="s">
        <v>168</v>
      </c>
      <c r="G10" s="9" t="n">
        <f aca="false">COUNTIFS(Pairs!$B$2:$B$1000,A10,Pairs!$G$2:$G$1000,"Active")</f>
        <v>1</v>
      </c>
      <c r="H10" s="9" t="n">
        <f aca="false">COUNTIFS(Pairs!$B$2:$B$1000,A10,Pairs!$M$2:$M$1000,"OVER AGE")</f>
        <v>1</v>
      </c>
      <c r="I10" s="9" t="n">
        <f aca="false">COUNTIFS(Pairs!$B$2:$B$1000,A10,Pairs!$M$2:$M$1000,"Replace soon")</f>
        <v>0</v>
      </c>
      <c r="J10" s="9" t="n">
        <f aca="false">COUNTIFS(Cages!$B$2:$B$1000,A10,Cages!$D$2:$D$1000,"M",Cages!$I$2:$I$1000,"Yes")</f>
        <v>0</v>
      </c>
      <c r="K10" s="9" t="n">
        <f aca="false">COUNTIFS(Cages!$B$2:$B$1000,A10,Cages!$D$2:$D$1000,"F",Cages!$I$2:$I$1000,"Yes")</f>
        <v>0</v>
      </c>
      <c r="L10" s="10" t="str">
        <f aca="false">IF(AND(C10="Y",G10=0),"NO ACTIVE PAIR",IF(H10&gt;0,"Pair over age",IF(I10&gt;0,"Plan replacement","")))</f>
        <v>Pair over age</v>
      </c>
      <c r="M10" s="12" t="s">
        <v>414</v>
      </c>
      <c r="N10" s="12" t="s">
        <v>414</v>
      </c>
    </row>
    <row r="11" customFormat="false" ht="15" hidden="false" customHeight="true" outlineLevel="0" collapsed="false">
      <c r="A11" s="7"/>
      <c r="B11" s="7"/>
      <c r="C11" s="7"/>
      <c r="D11" s="7"/>
      <c r="E11" s="8"/>
      <c r="F11" s="7"/>
      <c r="G11" s="9"/>
      <c r="H11" s="9"/>
      <c r="I11" s="9"/>
      <c r="J11" s="9"/>
      <c r="K11" s="9"/>
      <c r="L11" s="10"/>
    </row>
    <row r="12" customFormat="false" ht="15" hidden="false" customHeight="true" outlineLevel="0" collapsed="false">
      <c r="A12" s="7"/>
      <c r="B12" s="7"/>
      <c r="C12" s="7"/>
      <c r="D12" s="7"/>
      <c r="E12" s="8"/>
      <c r="F12" s="7"/>
      <c r="G12" s="9"/>
      <c r="H12" s="9"/>
      <c r="I12" s="9"/>
      <c r="J12" s="9"/>
      <c r="K12" s="9"/>
      <c r="L12" s="10"/>
    </row>
    <row r="13" customFormat="false" ht="15" hidden="false" customHeight="true" outlineLevel="0" collapsed="false">
      <c r="A13" s="7"/>
      <c r="B13" s="7"/>
      <c r="C13" s="7"/>
      <c r="D13" s="7"/>
      <c r="E13" s="8"/>
      <c r="F13" s="7"/>
      <c r="G13" s="9"/>
      <c r="H13" s="9"/>
      <c r="I13" s="9"/>
      <c r="J13" s="9"/>
      <c r="K13" s="9"/>
      <c r="L13" s="10"/>
    </row>
    <row r="14" customFormat="false" ht="15" hidden="false" customHeight="true" outlineLevel="0" collapsed="false">
      <c r="A14" s="7"/>
      <c r="B14" s="7"/>
      <c r="C14" s="7"/>
      <c r="D14" s="7"/>
      <c r="E14" s="8"/>
      <c r="F14" s="7"/>
      <c r="G14" s="9"/>
      <c r="H14" s="9"/>
      <c r="I14" s="9"/>
      <c r="J14" s="9"/>
      <c r="K14" s="9"/>
      <c r="L14" s="10"/>
    </row>
    <row r="15" customFormat="false" ht="15" hidden="false" customHeight="true" outlineLevel="0" collapsed="false">
      <c r="A15" s="7"/>
      <c r="B15" s="7"/>
      <c r="C15" s="7"/>
      <c r="D15" s="7"/>
      <c r="E15" s="8"/>
      <c r="F15" s="7"/>
      <c r="G15" s="9"/>
      <c r="H15" s="9"/>
      <c r="I15" s="9"/>
      <c r="J15" s="9"/>
      <c r="K15" s="9"/>
      <c r="L15" s="10"/>
    </row>
    <row r="16" customFormat="false" ht="15" hidden="false" customHeight="true" outlineLevel="0" collapsed="false">
      <c r="A16" s="7"/>
      <c r="B16" s="7"/>
      <c r="C16" s="7"/>
      <c r="D16" s="7"/>
      <c r="E16" s="8"/>
      <c r="F16" s="7"/>
      <c r="G16" s="9"/>
      <c r="H16" s="9"/>
      <c r="I16" s="9"/>
      <c r="J16" s="9"/>
      <c r="K16" s="9"/>
      <c r="L16" s="10"/>
    </row>
    <row r="17" customFormat="false" ht="15" hidden="false" customHeight="true" outlineLevel="0" collapsed="false">
      <c r="A17" s="7"/>
      <c r="B17" s="7"/>
      <c r="C17" s="7"/>
      <c r="D17" s="7"/>
      <c r="E17" s="8"/>
      <c r="F17" s="7"/>
      <c r="G17" s="9"/>
      <c r="H17" s="9"/>
      <c r="I17" s="9"/>
      <c r="J17" s="9"/>
      <c r="K17" s="9"/>
      <c r="L17" s="10"/>
    </row>
    <row r="18" customFormat="false" ht="15" hidden="false" customHeight="true" outlineLevel="0" collapsed="false">
      <c r="A18" s="7"/>
      <c r="B18" s="7"/>
      <c r="C18" s="7"/>
      <c r="D18" s="7"/>
      <c r="E18" s="8"/>
      <c r="F18" s="7"/>
      <c r="G18" s="9"/>
      <c r="H18" s="9"/>
      <c r="I18" s="9"/>
      <c r="J18" s="9"/>
      <c r="K18" s="9"/>
      <c r="L18" s="10"/>
    </row>
    <row r="19" customFormat="false" ht="15" hidden="false" customHeight="true" outlineLevel="0" collapsed="false">
      <c r="A19" s="7"/>
      <c r="B19" s="7"/>
      <c r="C19" s="7"/>
      <c r="D19" s="7"/>
      <c r="E19" s="8"/>
      <c r="F19" s="7"/>
      <c r="G19" s="9"/>
      <c r="H19" s="9"/>
      <c r="I19" s="9"/>
      <c r="J19" s="9"/>
      <c r="K19" s="9"/>
      <c r="L19" s="10"/>
    </row>
    <row r="20" customFormat="false" ht="15" hidden="false" customHeight="true" outlineLevel="0" collapsed="false">
      <c r="A20" s="7"/>
      <c r="B20" s="7"/>
      <c r="C20" s="7"/>
      <c r="D20" s="7"/>
      <c r="E20" s="8"/>
      <c r="F20" s="7"/>
      <c r="G20" s="9"/>
      <c r="H20" s="9"/>
      <c r="I20" s="9"/>
      <c r="J20" s="9"/>
      <c r="K20" s="9"/>
      <c r="L20" s="10"/>
    </row>
    <row r="21" customFormat="false" ht="15" hidden="false" customHeight="true" outlineLevel="0" collapsed="false">
      <c r="A21" s="7"/>
      <c r="B21" s="7"/>
      <c r="C21" s="7"/>
      <c r="D21" s="7"/>
      <c r="E21" s="8"/>
      <c r="F21" s="7"/>
      <c r="G21" s="9"/>
      <c r="H21" s="9"/>
      <c r="I21" s="9"/>
      <c r="J21" s="9"/>
      <c r="K21" s="9"/>
      <c r="L21" s="10"/>
    </row>
    <row r="22" customFormat="false" ht="15" hidden="false" customHeight="true" outlineLevel="0" collapsed="false">
      <c r="A22" s="7"/>
      <c r="B22" s="7"/>
      <c r="C22" s="7"/>
      <c r="D22" s="7"/>
      <c r="E22" s="8"/>
      <c r="F22" s="7"/>
      <c r="G22" s="9"/>
      <c r="H22" s="9"/>
      <c r="I22" s="9"/>
      <c r="J22" s="9"/>
      <c r="K22" s="9"/>
      <c r="L22" s="10"/>
    </row>
    <row r="23" customFormat="false" ht="15" hidden="false" customHeight="true" outlineLevel="0" collapsed="false">
      <c r="A23" s="7"/>
      <c r="B23" s="7"/>
      <c r="C23" s="7"/>
      <c r="D23" s="7"/>
      <c r="E23" s="8"/>
      <c r="F23" s="7"/>
      <c r="G23" s="9"/>
      <c r="H23" s="9"/>
      <c r="I23" s="9"/>
      <c r="J23" s="9"/>
      <c r="K23" s="9"/>
      <c r="L23" s="10"/>
    </row>
    <row r="24" customFormat="false" ht="15" hidden="false" customHeight="true" outlineLevel="0" collapsed="false">
      <c r="A24" s="7"/>
      <c r="B24" s="7"/>
      <c r="C24" s="7"/>
      <c r="D24" s="7"/>
      <c r="E24" s="8"/>
      <c r="F24" s="7"/>
      <c r="G24" s="9"/>
      <c r="H24" s="9"/>
      <c r="I24" s="9"/>
      <c r="J24" s="9"/>
      <c r="K24" s="9"/>
      <c r="L24" s="10"/>
    </row>
    <row r="25" customFormat="false" ht="15" hidden="false" customHeight="true" outlineLevel="0" collapsed="false">
      <c r="A25" s="7"/>
      <c r="B25" s="7"/>
      <c r="C25" s="7"/>
      <c r="D25" s="7"/>
      <c r="E25" s="8"/>
      <c r="F25" s="7"/>
      <c r="G25" s="9"/>
      <c r="H25" s="9"/>
      <c r="I25" s="9"/>
      <c r="J25" s="9"/>
      <c r="K25" s="9"/>
      <c r="L25" s="10"/>
    </row>
    <row r="26" customFormat="false" ht="15" hidden="false" customHeight="true" outlineLevel="0" collapsed="false">
      <c r="A26" s="7"/>
      <c r="B26" s="7"/>
      <c r="C26" s="7"/>
      <c r="D26" s="7"/>
      <c r="E26" s="8"/>
      <c r="F26" s="7"/>
      <c r="G26" s="9"/>
      <c r="H26" s="9"/>
      <c r="I26" s="9"/>
      <c r="J26" s="9"/>
      <c r="K26" s="9"/>
      <c r="L26" s="10"/>
    </row>
    <row r="27" customFormat="false" ht="15" hidden="false" customHeight="true" outlineLevel="0" collapsed="false">
      <c r="A27" s="7"/>
      <c r="B27" s="7"/>
      <c r="C27" s="7"/>
      <c r="D27" s="7"/>
      <c r="E27" s="8"/>
      <c r="F27" s="7"/>
      <c r="G27" s="9"/>
      <c r="H27" s="9"/>
      <c r="I27" s="9"/>
      <c r="J27" s="9"/>
      <c r="K27" s="9"/>
      <c r="L27" s="10"/>
    </row>
    <row r="28" customFormat="false" ht="15" hidden="false" customHeight="true" outlineLevel="0" collapsed="false">
      <c r="A28" s="7"/>
      <c r="B28" s="7"/>
      <c r="C28" s="7"/>
      <c r="D28" s="7"/>
      <c r="E28" s="8"/>
      <c r="F28" s="7"/>
      <c r="G28" s="9"/>
      <c r="H28" s="9"/>
      <c r="I28" s="9"/>
      <c r="J28" s="9"/>
      <c r="K28" s="9"/>
      <c r="L28" s="10"/>
    </row>
    <row r="29" customFormat="false" ht="15" hidden="false" customHeight="true" outlineLevel="0" collapsed="false">
      <c r="A29" s="7"/>
      <c r="B29" s="7"/>
      <c r="C29" s="7"/>
      <c r="D29" s="7"/>
      <c r="E29" s="8"/>
      <c r="F29" s="7"/>
      <c r="G29" s="9"/>
      <c r="H29" s="9"/>
      <c r="I29" s="9"/>
      <c r="J29" s="9"/>
      <c r="K29" s="9"/>
      <c r="L29" s="10"/>
    </row>
    <row r="30" customFormat="false" ht="15" hidden="false" customHeight="true" outlineLevel="0" collapsed="false">
      <c r="A30" s="7"/>
      <c r="B30" s="7"/>
      <c r="C30" s="7"/>
      <c r="D30" s="7"/>
      <c r="E30" s="8"/>
      <c r="F30" s="7"/>
      <c r="G30" s="9"/>
      <c r="H30" s="9"/>
      <c r="I30" s="9"/>
      <c r="J30" s="9"/>
      <c r="K30" s="9"/>
      <c r="L30" s="10"/>
    </row>
    <row r="31" customFormat="false" ht="15" hidden="false" customHeight="true" outlineLevel="0" collapsed="false">
      <c r="A31" s="7"/>
      <c r="B31" s="7"/>
      <c r="C31" s="7"/>
      <c r="D31" s="7"/>
      <c r="E31" s="8"/>
      <c r="F31" s="7"/>
      <c r="G31" s="9"/>
      <c r="H31" s="9"/>
      <c r="I31" s="9"/>
      <c r="J31" s="9"/>
      <c r="K31" s="9"/>
      <c r="L31" s="10"/>
    </row>
    <row r="32" customFormat="false" ht="15" hidden="false" customHeight="true" outlineLevel="0" collapsed="false">
      <c r="A32" s="7"/>
      <c r="B32" s="7"/>
      <c r="C32" s="7"/>
      <c r="D32" s="7"/>
      <c r="E32" s="8"/>
      <c r="F32" s="7"/>
      <c r="G32" s="9"/>
      <c r="H32" s="9"/>
      <c r="I32" s="9"/>
      <c r="J32" s="9"/>
      <c r="K32" s="9"/>
      <c r="L32" s="10"/>
    </row>
    <row r="33" customFormat="false" ht="15" hidden="false" customHeight="true" outlineLevel="0" collapsed="false">
      <c r="A33" s="7"/>
      <c r="B33" s="7"/>
      <c r="C33" s="7"/>
      <c r="D33" s="7"/>
      <c r="E33" s="8"/>
      <c r="F33" s="7"/>
      <c r="G33" s="9"/>
      <c r="H33" s="9"/>
      <c r="I33" s="9"/>
      <c r="J33" s="9"/>
      <c r="K33" s="9"/>
      <c r="L33" s="10"/>
    </row>
    <row r="34" customFormat="false" ht="15" hidden="false" customHeight="true" outlineLevel="0" collapsed="false">
      <c r="A34" s="7"/>
      <c r="B34" s="7"/>
      <c r="C34" s="7"/>
      <c r="D34" s="7"/>
      <c r="E34" s="8"/>
      <c r="F34" s="7"/>
      <c r="G34" s="9"/>
      <c r="H34" s="9"/>
      <c r="I34" s="9"/>
      <c r="J34" s="9"/>
      <c r="K34" s="9"/>
      <c r="L34" s="10"/>
    </row>
    <row r="35" customFormat="false" ht="15" hidden="false" customHeight="true" outlineLevel="0" collapsed="false">
      <c r="A35" s="7"/>
      <c r="B35" s="7"/>
      <c r="C35" s="7"/>
      <c r="D35" s="7"/>
      <c r="E35" s="8"/>
      <c r="F35" s="7"/>
      <c r="G35" s="9"/>
      <c r="H35" s="9"/>
      <c r="I35" s="9"/>
      <c r="J35" s="9"/>
      <c r="K35" s="9"/>
      <c r="L35" s="10"/>
    </row>
    <row r="36" customFormat="false" ht="15" hidden="false" customHeight="true" outlineLevel="0" collapsed="false">
      <c r="A36" s="7"/>
      <c r="B36" s="7"/>
      <c r="C36" s="7"/>
      <c r="D36" s="7"/>
      <c r="E36" s="8"/>
      <c r="F36" s="7"/>
      <c r="G36" s="9"/>
      <c r="H36" s="9"/>
      <c r="I36" s="9"/>
      <c r="J36" s="9"/>
      <c r="K36" s="9"/>
      <c r="L36" s="10"/>
    </row>
    <row r="37" customFormat="false" ht="15" hidden="false" customHeight="true" outlineLevel="0" collapsed="false">
      <c r="A37" s="7"/>
      <c r="B37" s="7"/>
      <c r="C37" s="7"/>
      <c r="D37" s="7"/>
      <c r="E37" s="8"/>
      <c r="F37" s="7"/>
      <c r="G37" s="9"/>
      <c r="H37" s="9"/>
      <c r="I37" s="9"/>
      <c r="J37" s="9"/>
      <c r="K37" s="9"/>
      <c r="L37" s="10"/>
    </row>
    <row r="38" customFormat="false" ht="15" hidden="false" customHeight="true" outlineLevel="0" collapsed="false">
      <c r="A38" s="7"/>
      <c r="B38" s="7"/>
      <c r="C38" s="7"/>
      <c r="D38" s="7"/>
      <c r="E38" s="8"/>
      <c r="F38" s="7"/>
      <c r="G38" s="9"/>
      <c r="H38" s="9"/>
      <c r="I38" s="9"/>
      <c r="J38" s="9"/>
      <c r="K38" s="9"/>
      <c r="L38" s="10"/>
    </row>
    <row r="39" customFormat="false" ht="15" hidden="false" customHeight="true" outlineLevel="0" collapsed="false">
      <c r="A39" s="7"/>
      <c r="B39" s="7"/>
      <c r="C39" s="7"/>
      <c r="D39" s="7"/>
      <c r="E39" s="8"/>
      <c r="F39" s="7"/>
      <c r="G39" s="9"/>
      <c r="H39" s="9"/>
      <c r="I39" s="9"/>
      <c r="J39" s="9"/>
      <c r="K39" s="9"/>
      <c r="L39" s="10"/>
    </row>
    <row r="40" customFormat="false" ht="15" hidden="false" customHeight="true" outlineLevel="0" collapsed="false">
      <c r="A40" s="7"/>
      <c r="B40" s="7"/>
      <c r="C40" s="7"/>
      <c r="D40" s="7"/>
      <c r="E40" s="8"/>
      <c r="F40" s="7"/>
      <c r="G40" s="9"/>
      <c r="H40" s="9"/>
      <c r="I40" s="9"/>
      <c r="J40" s="9"/>
      <c r="K40" s="9"/>
      <c r="L40" s="10"/>
    </row>
    <row r="41" customFormat="false" ht="15" hidden="false" customHeight="true" outlineLevel="0" collapsed="false">
      <c r="A41" s="7"/>
      <c r="B41" s="7"/>
      <c r="C41" s="7"/>
      <c r="D41" s="7"/>
      <c r="E41" s="8"/>
      <c r="F41" s="7"/>
      <c r="G41" s="9"/>
      <c r="H41" s="9"/>
      <c r="I41" s="9"/>
      <c r="J41" s="9"/>
      <c r="K41" s="9"/>
      <c r="L41" s="10"/>
    </row>
  </sheetData>
  <autoFilter ref="A1:N1000"/>
  <conditionalFormatting sqref="L2:L1000">
    <cfRule type="expression" priority="2" aboveAverage="0" equalAverage="0" bottom="0" percent="0" rank="0" text="" dxfId="12">
      <formula>L2="NO ACTIVE PAIR"</formula>
    </cfRule>
    <cfRule type="expression" priority="3" aboveAverage="0" equalAverage="0" bottom="0" percent="0" rank="0" text="" dxfId="12">
      <formula>L2="Pair over age"</formula>
    </cfRule>
    <cfRule type="expression" priority="4" aboveAverage="0" equalAverage="0" bottom="0" percent="0" rank="0" text="" dxfId="13">
      <formula>L2="Plan replacement"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4" min="3" style="1" width="9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8" min="7" style="1" width="9"/>
    <col collapsed="false" customWidth="true" hidden="false" outlineLevel="0" max="10" min="9" style="1" width="10"/>
    <col collapsed="false" customWidth="true" hidden="false" outlineLevel="0" max="11" min="11" style="1" width="34"/>
  </cols>
  <sheetData>
    <row r="1" customFormat="false" ht="30" hidden="false" customHeight="true" outlineLevel="0" collapsed="false">
      <c r="A1" s="5" t="s">
        <v>415</v>
      </c>
      <c r="B1" s="5" t="s">
        <v>111</v>
      </c>
      <c r="C1" s="5" t="s">
        <v>26</v>
      </c>
      <c r="D1" s="5" t="s">
        <v>27</v>
      </c>
      <c r="E1" s="5" t="s">
        <v>416</v>
      </c>
      <c r="F1" s="5" t="s">
        <v>417</v>
      </c>
      <c r="G1" s="5" t="s">
        <v>418</v>
      </c>
      <c r="H1" s="5" t="s">
        <v>419</v>
      </c>
      <c r="I1" s="5" t="s">
        <v>420</v>
      </c>
      <c r="J1" s="5" t="s">
        <v>421</v>
      </c>
      <c r="K1" s="5" t="s">
        <v>28</v>
      </c>
    </row>
    <row r="2" customFormat="false" ht="15" hidden="false" customHeight="true" outlineLevel="0" collapsed="false">
      <c r="A2" s="8"/>
      <c r="B2" s="7"/>
      <c r="C2" s="7"/>
      <c r="D2" s="7"/>
      <c r="E2" s="7"/>
      <c r="F2" s="8"/>
      <c r="G2" s="7"/>
      <c r="H2" s="7"/>
      <c r="I2" s="7"/>
      <c r="J2" s="7"/>
      <c r="K2" s="7"/>
    </row>
  </sheetData>
  <autoFilter ref="A1:K10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6" min="5" style="1" width="6"/>
    <col collapsed="false" customWidth="true" hidden="false" outlineLevel="0" max="7" min="7" style="1" width="12"/>
    <col collapsed="false" customWidth="true" hidden="false" outlineLevel="0" max="8" min="8" style="1" width="22"/>
    <col collapsed="false" customWidth="true" hidden="false" outlineLevel="0" max="9" min="9" style="1" width="34"/>
    <col collapsed="false" customWidth="true" hidden="false" outlineLevel="0" max="10" min="10" style="1" width="14"/>
    <col collapsed="false" customWidth="true" hidden="false" outlineLevel="0" max="11" min="11" style="1" width="34"/>
  </cols>
  <sheetData>
    <row r="1" customFormat="false" ht="30" hidden="false" customHeight="true" outlineLevel="0" collapsed="false">
      <c r="A1" s="5" t="s">
        <v>422</v>
      </c>
      <c r="B1" s="5" t="s">
        <v>24</v>
      </c>
      <c r="C1" s="5" t="s">
        <v>423</v>
      </c>
      <c r="D1" s="5" t="s">
        <v>21</v>
      </c>
      <c r="E1" s="5" t="s">
        <v>22</v>
      </c>
      <c r="F1" s="5" t="s">
        <v>424</v>
      </c>
      <c r="G1" s="5" t="s">
        <v>235</v>
      </c>
      <c r="H1" s="5" t="s">
        <v>425</v>
      </c>
      <c r="I1" s="5" t="s">
        <v>426</v>
      </c>
      <c r="J1" s="5" t="s">
        <v>427</v>
      </c>
      <c r="K1" s="5" t="s">
        <v>28</v>
      </c>
    </row>
  </sheetData>
  <autoFilter ref="A1:K10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3F3F"/>
    <pageSetUpPr fitToPage="false"/>
  </sheetPr>
  <dimension ref="A1:Q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6" min="5" style="1" width="6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26"/>
    <col collapsed="false" customWidth="true" hidden="false" outlineLevel="0" max="10" min="10" style="1" width="28"/>
    <col collapsed="false" customWidth="true" hidden="false" outlineLevel="0" max="11" min="11" style="1" width="18"/>
    <col collapsed="false" customWidth="true" hidden="false" outlineLevel="0" max="12" min="12" style="1" width="14"/>
    <col collapsed="false" customWidth="true" hidden="false" outlineLevel="0" max="14" min="13" style="1" width="9"/>
    <col collapsed="false" customWidth="true" hidden="false" outlineLevel="0" max="15" min="15" style="1" width="26"/>
    <col collapsed="false" customWidth="true" hidden="false" outlineLevel="0" max="16" min="16" style="1" width="60"/>
    <col collapsed="false" customWidth="true" hidden="false" outlineLevel="0" max="17" min="17" style="1" width="30"/>
  </cols>
  <sheetData>
    <row r="1" customFormat="false" ht="30" hidden="false" customHeight="true" outlineLevel="0" collapsed="false">
      <c r="A1" s="15" t="s">
        <v>422</v>
      </c>
      <c r="B1" s="15" t="s">
        <v>24</v>
      </c>
      <c r="C1" s="15" t="s">
        <v>423</v>
      </c>
      <c r="D1" s="15" t="s">
        <v>21</v>
      </c>
      <c r="E1" s="15" t="s">
        <v>22</v>
      </c>
      <c r="F1" s="15" t="s">
        <v>424</v>
      </c>
      <c r="G1" s="15" t="s">
        <v>235</v>
      </c>
      <c r="H1" s="15" t="s">
        <v>29</v>
      </c>
      <c r="I1" s="15" t="s">
        <v>428</v>
      </c>
      <c r="J1" s="15" t="s">
        <v>429</v>
      </c>
      <c r="K1" s="15" t="s">
        <v>430</v>
      </c>
      <c r="L1" s="15" t="s">
        <v>427</v>
      </c>
      <c r="M1" s="15" t="s">
        <v>26</v>
      </c>
      <c r="N1" s="15" t="s">
        <v>27</v>
      </c>
      <c r="O1" s="15" t="s">
        <v>33</v>
      </c>
      <c r="P1" s="15" t="s">
        <v>431</v>
      </c>
      <c r="Q1" s="15" t="s">
        <v>28</v>
      </c>
    </row>
  </sheetData>
  <autoFilter ref="A1:Q10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0"/>
    <col collapsed="false" customWidth="true" hidden="false" outlineLevel="0" max="3" min="3" style="1" width="46"/>
    <col collapsed="false" customWidth="true" hidden="false" outlineLevel="0" max="4" min="4" style="1" width="40"/>
    <col collapsed="false" customWidth="true" hidden="false" outlineLevel="0" max="5" min="5" style="1" width="8"/>
  </cols>
  <sheetData>
    <row r="1" customFormat="false" ht="30" hidden="false" customHeight="true" outlineLevel="0" collapsed="false">
      <c r="A1" s="5" t="s">
        <v>24</v>
      </c>
      <c r="B1" s="5" t="s">
        <v>432</v>
      </c>
      <c r="C1" s="5" t="s">
        <v>433</v>
      </c>
      <c r="D1" s="5" t="s">
        <v>434</v>
      </c>
      <c r="E1" s="5" t="s">
        <v>435</v>
      </c>
    </row>
    <row r="2" customFormat="false" ht="15" hidden="false" customHeight="true" outlineLevel="0" collapsed="false">
      <c r="A2" s="7" t="s">
        <v>144</v>
      </c>
      <c r="B2" s="16" t="s">
        <v>436</v>
      </c>
      <c r="C2" s="16"/>
      <c r="D2" s="16" t="s">
        <v>437</v>
      </c>
      <c r="E2" s="7"/>
    </row>
    <row r="3" customFormat="false" ht="15" hidden="false" customHeight="true" outlineLevel="0" collapsed="false">
      <c r="A3" s="7" t="s">
        <v>148</v>
      </c>
      <c r="B3" s="16" t="s">
        <v>436</v>
      </c>
      <c r="C3" s="16"/>
      <c r="D3" s="16" t="s">
        <v>437</v>
      </c>
      <c r="E3" s="7"/>
    </row>
    <row r="4" customFormat="false" ht="15" hidden="false" customHeight="true" outlineLevel="0" collapsed="false">
      <c r="A4" s="7" t="s">
        <v>194</v>
      </c>
      <c r="B4" s="16" t="s">
        <v>438</v>
      </c>
      <c r="C4" s="16"/>
      <c r="D4" s="16" t="s">
        <v>33</v>
      </c>
      <c r="E4" s="7"/>
    </row>
    <row r="5" customFormat="false" ht="15" hidden="false" customHeight="true" outlineLevel="0" collapsed="false">
      <c r="A5" s="7" t="s">
        <v>196</v>
      </c>
      <c r="B5" s="16" t="s">
        <v>436</v>
      </c>
      <c r="C5" s="16"/>
      <c r="D5" s="16" t="s">
        <v>437</v>
      </c>
      <c r="E5" s="7"/>
    </row>
    <row r="6" customFormat="false" ht="15" hidden="false" customHeight="true" outlineLevel="0" collapsed="false">
      <c r="A6" s="7" t="s">
        <v>197</v>
      </c>
      <c r="B6" s="16" t="s">
        <v>439</v>
      </c>
      <c r="C6" s="16"/>
      <c r="D6" s="16" t="s">
        <v>437</v>
      </c>
      <c r="E6" s="7"/>
    </row>
    <row r="7" customFormat="false" ht="15" hidden="false" customHeight="true" outlineLevel="0" collapsed="false">
      <c r="A7" s="7" t="s">
        <v>83</v>
      </c>
      <c r="B7" s="16" t="s">
        <v>440</v>
      </c>
      <c r="C7" s="16" t="s">
        <v>441</v>
      </c>
      <c r="D7" s="16" t="s">
        <v>442</v>
      </c>
      <c r="E7" s="7" t="s">
        <v>443</v>
      </c>
    </row>
    <row r="8" customFormat="false" ht="15" hidden="false" customHeight="true" outlineLevel="0" collapsed="false">
      <c r="A8" s="7" t="s">
        <v>205</v>
      </c>
      <c r="B8" s="16" t="s">
        <v>436</v>
      </c>
      <c r="C8" s="16"/>
      <c r="D8" s="16" t="s">
        <v>437</v>
      </c>
      <c r="E8" s="7"/>
    </row>
    <row r="9" customFormat="false" ht="23.25" hidden="false" customHeight="true" outlineLevel="0" collapsed="false">
      <c r="A9" s="7" t="s">
        <v>99</v>
      </c>
      <c r="B9" s="16" t="s">
        <v>444</v>
      </c>
      <c r="C9" s="16" t="s">
        <v>445</v>
      </c>
      <c r="D9" s="16" t="s">
        <v>446</v>
      </c>
      <c r="E9" s="7" t="s">
        <v>443</v>
      </c>
    </row>
    <row r="10" customFormat="false" ht="15" hidden="false" customHeight="true" outlineLevel="0" collapsed="false">
      <c r="A10" s="7" t="s">
        <v>216</v>
      </c>
      <c r="B10" s="16" t="s">
        <v>447</v>
      </c>
      <c r="C10" s="16"/>
      <c r="D10" s="16" t="s">
        <v>437</v>
      </c>
      <c r="E10" s="7"/>
    </row>
    <row r="11" customFormat="false" ht="23.25" hidden="false" customHeight="true" outlineLevel="0" collapsed="false">
      <c r="A11" s="7" t="s">
        <v>108</v>
      </c>
      <c r="B11" s="16" t="s">
        <v>444</v>
      </c>
      <c r="C11" s="16" t="s">
        <v>448</v>
      </c>
      <c r="D11" s="16" t="s">
        <v>446</v>
      </c>
      <c r="E11" s="7" t="s">
        <v>443</v>
      </c>
    </row>
    <row r="12" customFormat="false" ht="15" hidden="false" customHeight="true" outlineLevel="0" collapsed="false">
      <c r="A12" s="7" t="s">
        <v>225</v>
      </c>
      <c r="B12" s="16" t="s">
        <v>447</v>
      </c>
      <c r="C12" s="16"/>
      <c r="D12" s="16" t="s">
        <v>437</v>
      </c>
      <c r="E12" s="7"/>
    </row>
    <row r="13" customFormat="false" ht="15" hidden="false" customHeight="true" outlineLevel="0" collapsed="false">
      <c r="A13" s="7" t="s">
        <v>226</v>
      </c>
      <c r="B13" s="16" t="s">
        <v>447</v>
      </c>
      <c r="C13" s="16"/>
      <c r="D13" s="16" t="s">
        <v>437</v>
      </c>
      <c r="E13" s="7"/>
    </row>
    <row r="14" customFormat="false" ht="23.25" hidden="false" customHeight="true" outlineLevel="0" collapsed="false">
      <c r="A14" s="7" t="s">
        <v>449</v>
      </c>
      <c r="B14" s="16" t="s">
        <v>450</v>
      </c>
      <c r="C14" s="16" t="s">
        <v>451</v>
      </c>
      <c r="D14" s="16" t="s">
        <v>452</v>
      </c>
      <c r="E14" s="7"/>
    </row>
    <row r="15" customFormat="false" ht="23.25" hidden="false" customHeight="true" outlineLevel="0" collapsed="false">
      <c r="A15" s="7" t="s">
        <v>449</v>
      </c>
      <c r="B15" s="16" t="s">
        <v>453</v>
      </c>
      <c r="C15" s="16" t="s">
        <v>454</v>
      </c>
      <c r="D15" s="16" t="s">
        <v>452</v>
      </c>
      <c r="E15" s="7"/>
    </row>
    <row r="16" customFormat="false" ht="23.25" hidden="false" customHeight="true" outlineLevel="0" collapsed="false">
      <c r="A16" s="7" t="s">
        <v>449</v>
      </c>
      <c r="B16" s="16" t="s">
        <v>455</v>
      </c>
      <c r="C16" s="16" t="s">
        <v>456</v>
      </c>
      <c r="D16" s="16" t="s">
        <v>452</v>
      </c>
      <c r="E16" s="7"/>
    </row>
    <row r="17" customFormat="false" ht="23.25" hidden="false" customHeight="true" outlineLevel="0" collapsed="false">
      <c r="A17" s="7" t="s">
        <v>449</v>
      </c>
      <c r="B17" s="16" t="s">
        <v>457</v>
      </c>
      <c r="C17" s="16" t="s">
        <v>458</v>
      </c>
      <c r="D17" s="16" t="s">
        <v>452</v>
      </c>
      <c r="E17" s="7"/>
    </row>
    <row r="18" customFormat="false" ht="23.25" hidden="false" customHeight="true" outlineLevel="0" collapsed="false">
      <c r="A18" s="7" t="s">
        <v>449</v>
      </c>
      <c r="B18" s="16" t="s">
        <v>459</v>
      </c>
      <c r="C18" s="16" t="s">
        <v>460</v>
      </c>
      <c r="D18" s="16" t="s">
        <v>452</v>
      </c>
      <c r="E18" s="7"/>
    </row>
    <row r="19" customFormat="false" ht="23.25" hidden="false" customHeight="true" outlineLevel="0" collapsed="false">
      <c r="A19" s="7" t="s">
        <v>449</v>
      </c>
      <c r="B19" s="16" t="s">
        <v>461</v>
      </c>
      <c r="C19" s="16" t="s">
        <v>462</v>
      </c>
      <c r="D19" s="16" t="s">
        <v>452</v>
      </c>
      <c r="E19" s="7"/>
    </row>
    <row r="20" customFormat="false" ht="15" hidden="false" customHeight="true" outlineLevel="0" collapsed="false">
      <c r="A20" s="7" t="s">
        <v>449</v>
      </c>
      <c r="B20" s="16" t="s">
        <v>463</v>
      </c>
      <c r="C20" s="16" t="s">
        <v>464</v>
      </c>
      <c r="D20" s="16" t="s">
        <v>452</v>
      </c>
      <c r="E20" s="7"/>
    </row>
    <row r="21" customFormat="false" ht="23.25" hidden="false" customHeight="true" outlineLevel="0" collapsed="false">
      <c r="A21" s="7" t="s">
        <v>465</v>
      </c>
      <c r="B21" s="16" t="s">
        <v>466</v>
      </c>
      <c r="C21" s="16" t="s">
        <v>467</v>
      </c>
      <c r="D21" s="16" t="s">
        <v>468</v>
      </c>
      <c r="E21" s="7" t="s">
        <v>443</v>
      </c>
    </row>
    <row r="22" customFormat="false" ht="23.25" hidden="false" customHeight="true" outlineLevel="0" collapsed="false">
      <c r="A22" s="12" t="s">
        <v>108</v>
      </c>
      <c r="B22" s="3" t="s">
        <v>469</v>
      </c>
      <c r="C22" s="3" t="s">
        <v>470</v>
      </c>
      <c r="D22" s="3" t="s">
        <v>471</v>
      </c>
    </row>
    <row r="23" customFormat="false" ht="15" hidden="false" customHeight="true" outlineLevel="0" collapsed="false">
      <c r="A23" s="12" t="s">
        <v>61</v>
      </c>
      <c r="B23" s="3" t="s">
        <v>472</v>
      </c>
      <c r="C23" s="3" t="s">
        <v>473</v>
      </c>
      <c r="D23" s="3" t="s">
        <v>474</v>
      </c>
    </row>
    <row r="24" customFormat="false" ht="23.25" hidden="false" customHeight="true" outlineLevel="0" collapsed="false">
      <c r="A24" s="12" t="s">
        <v>475</v>
      </c>
      <c r="B24" s="3" t="s">
        <v>476</v>
      </c>
      <c r="C24" s="3" t="s">
        <v>477</v>
      </c>
      <c r="D24" s="3" t="s">
        <v>478</v>
      </c>
    </row>
    <row r="25" customFormat="false" ht="15" hidden="false" customHeight="true" outlineLevel="0" collapsed="false">
      <c r="A25" s="12" t="s">
        <v>479</v>
      </c>
      <c r="B25" s="3" t="s">
        <v>480</v>
      </c>
      <c r="C25" s="3" t="s">
        <v>481</v>
      </c>
      <c r="D25" s="3" t="s">
        <v>482</v>
      </c>
    </row>
    <row r="26" customFormat="false" ht="23.25" hidden="false" customHeight="true" outlineLevel="0" collapsed="false">
      <c r="A26" s="12" t="s">
        <v>203</v>
      </c>
      <c r="B26" s="3" t="s">
        <v>483</v>
      </c>
      <c r="C26" s="3" t="s">
        <v>484</v>
      </c>
      <c r="D26" s="3" t="s">
        <v>485</v>
      </c>
    </row>
    <row r="27" customFormat="false" ht="15" hidden="false" customHeight="true" outlineLevel="0" collapsed="false">
      <c r="A27" s="12" t="s">
        <v>486</v>
      </c>
      <c r="B27" s="3" t="s">
        <v>487</v>
      </c>
      <c r="C27" s="3" t="s">
        <v>488</v>
      </c>
      <c r="D27" s="3" t="s">
        <v>489</v>
      </c>
    </row>
  </sheetData>
  <autoFilter ref="A1:E1000"/>
  <conditionalFormatting sqref="A2:E1000">
    <cfRule type="expression" priority="2" aboveAverage="0" equalAverage="0" bottom="0" percent="0" rank="0" text="" dxfId="24">
      <formula>$E2&lt;&gt;""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30" hidden="false" customHeight="true" outlineLevel="0" collapsed="false">
      <c r="A1" s="5" t="s">
        <v>490</v>
      </c>
      <c r="B1" s="5" t="s">
        <v>491</v>
      </c>
      <c r="C1" s="5" t="s">
        <v>492</v>
      </c>
    </row>
    <row r="2" customFormat="false" ht="15" hidden="false" customHeight="true" outlineLevel="0" collapsed="false">
      <c r="A2" s="7" t="s">
        <v>493</v>
      </c>
      <c r="B2" s="17" t="n">
        <v>365</v>
      </c>
      <c r="C2" s="18" t="s">
        <v>494</v>
      </c>
    </row>
    <row r="3" customFormat="false" ht="15" hidden="false" customHeight="true" outlineLevel="0" collapsed="false">
      <c r="A3" s="7" t="s">
        <v>495</v>
      </c>
      <c r="B3" s="17" t="n">
        <v>60</v>
      </c>
      <c r="C3" s="18" t="s">
        <v>496</v>
      </c>
    </row>
    <row r="4" customFormat="false" ht="15" hidden="false" customHeight="true" outlineLevel="0" collapsed="false">
      <c r="A4" s="7" t="s">
        <v>497</v>
      </c>
      <c r="B4" s="17" t="n">
        <v>49</v>
      </c>
      <c r="C4" s="18" t="s">
        <v>498</v>
      </c>
    </row>
    <row r="5" customFormat="false" ht="15" hidden="false" customHeight="true" outlineLevel="0" collapsed="false">
      <c r="A5" s="7" t="s">
        <v>499</v>
      </c>
      <c r="B5" s="17" t="n">
        <v>180</v>
      </c>
      <c r="C5" s="18" t="s">
        <v>500</v>
      </c>
    </row>
    <row r="6" customFormat="false" ht="15" hidden="false" customHeight="true" outlineLevel="0" collapsed="false">
      <c r="A6" s="7"/>
      <c r="C6" s="18"/>
    </row>
    <row r="7" customFormat="false" ht="15" hidden="false" customHeight="true" outlineLevel="0" collapsed="false">
      <c r="A7" s="7" t="s">
        <v>501</v>
      </c>
      <c r="B7" s="19" t="n">
        <v>46320</v>
      </c>
      <c r="C7" s="18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.71"/>
    <col collapsed="false" customWidth="true" hidden="false" outlineLevel="0" max="2" min="2" style="1" width="34"/>
    <col collapsed="false" customWidth="true" hidden="false" outlineLevel="0" max="3" min="3" style="1" width="43"/>
    <col collapsed="false" customWidth="true" hidden="false" outlineLevel="0" max="4" min="4" style="1" width="40.43"/>
    <col collapsed="false" customWidth="true" hidden="false" outlineLevel="0" max="5" min="5" style="1" width="32.15"/>
    <col collapsed="false" customWidth="true" hidden="false" outlineLevel="0" max="8" min="6" style="1" width="28.14"/>
    <col collapsed="false" customWidth="true" hidden="false" outlineLevel="0" max="26" min="9" style="1" width="8.71"/>
  </cols>
  <sheetData>
    <row r="2" customFormat="false" ht="15" hidden="false" customHeight="true" outlineLevel="0" collapsed="false">
      <c r="B2" s="20" t="s">
        <v>503</v>
      </c>
      <c r="C2" s="20" t="s">
        <v>504</v>
      </c>
      <c r="D2" s="20" t="s">
        <v>505</v>
      </c>
      <c r="E2" s="20" t="s">
        <v>506</v>
      </c>
      <c r="F2" s="20" t="s">
        <v>507</v>
      </c>
      <c r="G2" s="21" t="s">
        <v>508</v>
      </c>
    </row>
    <row r="3" customFormat="false" ht="15" hidden="false" customHeight="true" outlineLevel="0" collapsed="false">
      <c r="A3" s="22" t="s">
        <v>509</v>
      </c>
      <c r="B3" s="23" t="s">
        <v>43</v>
      </c>
      <c r="C3" s="24" t="s">
        <v>510</v>
      </c>
      <c r="D3" s="25" t="s">
        <v>511</v>
      </c>
      <c r="E3" s="26" t="s">
        <v>512</v>
      </c>
      <c r="F3" s="21" t="s">
        <v>513</v>
      </c>
    </row>
    <row r="4" customFormat="false" ht="15" hidden="false" customHeight="true" outlineLevel="0" collapsed="false">
      <c r="A4" s="22"/>
      <c r="B4" s="27" t="s">
        <v>72</v>
      </c>
      <c r="C4" s="24" t="n">
        <v>17320</v>
      </c>
      <c r="D4" s="25" t="s">
        <v>514</v>
      </c>
      <c r="E4" s="26" t="s">
        <v>515</v>
      </c>
      <c r="F4" s="21" t="s">
        <v>513</v>
      </c>
    </row>
    <row r="5" customFormat="false" ht="15" hidden="false" customHeight="true" outlineLevel="0" collapsed="false">
      <c r="A5" s="22"/>
      <c r="B5" s="28" t="s">
        <v>516</v>
      </c>
      <c r="C5" s="21" t="s">
        <v>517</v>
      </c>
      <c r="D5" s="25" t="s">
        <v>518</v>
      </c>
      <c r="E5" s="29" t="s">
        <v>519</v>
      </c>
      <c r="F5" s="21" t="s">
        <v>520</v>
      </c>
    </row>
    <row r="6" customFormat="false" ht="15" hidden="false" customHeight="true" outlineLevel="0" collapsed="false">
      <c r="A6" s="22"/>
      <c r="B6" s="21" t="s">
        <v>35</v>
      </c>
      <c r="C6" s="30" t="s">
        <v>521</v>
      </c>
      <c r="D6" s="25" t="s">
        <v>522</v>
      </c>
      <c r="E6" s="29" t="s">
        <v>523</v>
      </c>
      <c r="F6" s="21" t="s">
        <v>513</v>
      </c>
    </row>
    <row r="7" customFormat="false" ht="15" hidden="false" customHeight="true" outlineLevel="0" collapsed="false">
      <c r="A7" s="22"/>
      <c r="B7" s="31" t="s">
        <v>524</v>
      </c>
      <c r="C7" s="21" t="s">
        <v>525</v>
      </c>
      <c r="D7" s="25" t="s">
        <v>526</v>
      </c>
      <c r="E7" s="29" t="s">
        <v>527</v>
      </c>
      <c r="F7" s="21" t="s">
        <v>513</v>
      </c>
    </row>
    <row r="8" customFormat="false" ht="15" hidden="false" customHeight="true" outlineLevel="0" collapsed="false">
      <c r="A8" s="22"/>
    </row>
    <row r="9" customFormat="false" ht="15" hidden="false" customHeight="true" outlineLevel="0" collapsed="false">
      <c r="A9" s="22"/>
    </row>
    <row r="10" customFormat="false" ht="15" hidden="false" customHeight="true" outlineLevel="0" collapsed="false">
      <c r="A10" s="20"/>
    </row>
    <row r="11" customFormat="false" ht="15" hidden="false" customHeight="true" outlineLevel="0" collapsed="false">
      <c r="A11" s="22" t="s">
        <v>528</v>
      </c>
      <c r="B11" s="32" t="s">
        <v>529</v>
      </c>
      <c r="C11" s="21" t="s">
        <v>530</v>
      </c>
      <c r="D11" s="33" t="s">
        <v>531</v>
      </c>
      <c r="E11" s="26" t="s">
        <v>532</v>
      </c>
      <c r="F11" s="21" t="s">
        <v>513</v>
      </c>
      <c r="G11" s="34" t="s">
        <v>533</v>
      </c>
    </row>
    <row r="12" customFormat="false" ht="15" hidden="false" customHeight="true" outlineLevel="0" collapsed="false">
      <c r="A12" s="22"/>
      <c r="B12" s="35" t="s">
        <v>534</v>
      </c>
      <c r="C12" s="21" t="s">
        <v>535</v>
      </c>
      <c r="D12" s="33" t="s">
        <v>536</v>
      </c>
      <c r="F12" s="21" t="s">
        <v>537</v>
      </c>
      <c r="G12" s="21" t="s">
        <v>538</v>
      </c>
    </row>
    <row r="13" customFormat="false" ht="15" hidden="false" customHeight="true" outlineLevel="0" collapsed="false">
      <c r="A13" s="22"/>
      <c r="B13" s="21" t="s">
        <v>539</v>
      </c>
      <c r="C13" s="21" t="s">
        <v>535</v>
      </c>
      <c r="D13" s="33" t="s">
        <v>540</v>
      </c>
      <c r="F13" s="21" t="s">
        <v>513</v>
      </c>
      <c r="G13" s="21" t="s">
        <v>538</v>
      </c>
    </row>
    <row r="14" customFormat="false" ht="15" hidden="false" customHeight="true" outlineLevel="0" collapsed="false">
      <c r="A14" s="22"/>
      <c r="B14" s="36" t="s">
        <v>541</v>
      </c>
      <c r="C14" s="21" t="s">
        <v>542</v>
      </c>
      <c r="D14" s="33" t="s">
        <v>543</v>
      </c>
      <c r="E14" s="21" t="s">
        <v>542</v>
      </c>
      <c r="F14" s="21" t="s">
        <v>542</v>
      </c>
      <c r="G14" s="21" t="s">
        <v>544</v>
      </c>
    </row>
    <row r="15" customFormat="false" ht="15" hidden="false" customHeight="true" outlineLevel="0" collapsed="false">
      <c r="A15" s="22"/>
    </row>
    <row r="16" customFormat="false" ht="15" hidden="false" customHeight="true" outlineLevel="0" collapsed="false">
      <c r="A16" s="22"/>
    </row>
    <row r="17" customFormat="false" ht="15" hidden="false" customHeight="true" outlineLevel="0" collapsed="false">
      <c r="A17" s="22"/>
    </row>
    <row r="18" customFormat="false" ht="15" hidden="false" customHeight="true" outlineLevel="0" collapsed="false">
      <c r="B18" s="20" t="s">
        <v>545</v>
      </c>
    </row>
    <row r="19" customFormat="false" ht="15" hidden="false" customHeight="true" outlineLevel="0" collapsed="false">
      <c r="B19" s="21" t="s">
        <v>546</v>
      </c>
      <c r="C19" s="24" t="n">
        <v>24275</v>
      </c>
      <c r="D19" s="21" t="s">
        <v>547</v>
      </c>
      <c r="E19" s="29" t="s">
        <v>548</v>
      </c>
      <c r="F19" s="21" t="s">
        <v>513</v>
      </c>
      <c r="G19" s="21" t="s">
        <v>549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>
      <c r="C27" s="28"/>
      <c r="D27" s="32"/>
      <c r="E27" s="35"/>
      <c r="F27" s="27"/>
      <c r="I27" s="36"/>
      <c r="J27" s="31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mergeCells count="2">
    <mergeCell ref="A3:A9"/>
    <mergeCell ref="A11:A17"/>
  </mergeCells>
  <conditionalFormatting sqref="B6 B13 G27:H27">
    <cfRule type="containsText" priority="2" operator="containsText" aboveAverage="0" equalAverage="0" bottom="0" percent="0" rank="0" text="Thy1Cre-tdTom" dxfId="25">
      <formula>NOT(ISERROR(SEARCH("Thy1Cre-tdTom",B6)))</formula>
    </cfRule>
    <cfRule type="containsText" priority="3" operator="containsText" aboveAverage="0" equalAverage="0" bottom="0" percent="0" rank="0" text="GCaMP3" dxfId="26">
      <formula>NOT(ISERROR(SEARCH("GCaMP3",B6)))</formula>
    </cfRule>
    <cfRule type="containsText" priority="4" operator="containsText" aboveAverage="0" equalAverage="0" bottom="0" percent="0" rank="0" text="c57" dxfId="27">
      <formula>NOT(ISERROR(SEARCH("c57",B6)))</formula>
    </cfRule>
    <cfRule type="containsText" priority="5" operator="containsText" aboveAverage="0" equalAverage="0" bottom="0" percent="0" rank="0" text="PV-Cre" dxfId="28">
      <formula>NOT(ISERROR(SEARCH("PV-Cre",B6)))</formula>
    </cfRule>
    <cfRule type="containsText" priority="6" operator="containsText" aboveAverage="0" equalAverage="0" bottom="0" percent="0" rank="0" text="PVCre-tdTom" dxfId="29">
      <formula>NOT(ISERROR(SEARCH("PVCre-tdTom",B6)))</formula>
    </cfRule>
    <cfRule type="containsText" priority="7" operator="containsText" aboveAverage="0" equalAverage="0" bottom="0" percent="0" rank="0" text="GC6s" dxfId="30">
      <formula>NOT(ISERROR(SEARCH("GC6s",B6)))</formula>
    </cfRule>
    <cfRule type="containsText" priority="8" operator="containsText" aboveAverage="0" equalAverage="0" bottom="0" percent="0" rank="0" text="Thy1-Cre" dxfId="31">
      <formula>NOT(ISERROR(SEARCH("Thy1-Cre",B6)))</formula>
    </cfRule>
    <cfRule type="containsText" priority="9" operator="containsText" aboveAverage="0" equalAverage="0" bottom="0" percent="0" rank="0" text="tdTom-flox" dxfId="32">
      <formula>NOT(ISERROR(SEARCH("tdTom-flox",B6)))</formula>
    </cfRule>
  </conditionalFormatting>
  <conditionalFormatting sqref="B13 G27">
    <cfRule type="containsText" priority="10" operator="containsText" aboveAverage="0" equalAverage="0" bottom="0" percent="0" rank="0" text="TP" dxfId="33">
      <formula>NOT(ISERROR(SEARCH("TP",B13)))</formula>
    </cfRule>
  </conditionalFormatting>
  <hyperlinks>
    <hyperlink ref="E3" r:id="rId1" display="000664 - C57BL/6J (jax.org)"/>
    <hyperlink ref="E4" r:id="rId2" display="www.jax.org/strain/017320"/>
    <hyperlink ref="E5" r:id="rId3" display="006143 - FVB/N-Tg(Thy1-cre)1Vln/J (jax.org)"/>
    <hyperlink ref="E6" r:id="rId4" display="https://www.jax.org/strain/017893"/>
    <hyperlink ref="E7" r:id="rId5" display="007905 - B6;129S6-Gt(ROSA)26Sor&lt;tm9(CAG-tdTomato)Hze&gt;/J (jax.org)"/>
    <hyperlink ref="E11" r:id="rId6" display="http://kac.koki.hu/menu.php?menuid=ogr_vonal"/>
    <hyperlink ref="E19" r:id="rId7" display="https://www.jax.org/strain/24275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Z10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.57"/>
    <col collapsed="false" customWidth="true" hidden="false" outlineLevel="0" max="2" min="2" style="1" width="8.71"/>
    <col collapsed="false" customWidth="true" hidden="false" outlineLevel="0" max="3" min="3" style="1" width="6.57"/>
    <col collapsed="false" customWidth="true" hidden="false" outlineLevel="0" max="4" min="4" style="1" width="49.57"/>
    <col collapsed="false" customWidth="true" hidden="false" outlineLevel="0" max="5" min="5" style="1" width="8.15"/>
    <col collapsed="false" customWidth="true" hidden="false" outlineLevel="0" max="6" min="6" style="1" width="8.86"/>
    <col collapsed="false" customWidth="true" hidden="false" outlineLevel="0" max="7" min="7" style="1" width="32.15"/>
    <col collapsed="false" customWidth="true" hidden="false" outlineLevel="0" max="8" min="8" style="1" width="28.71"/>
    <col collapsed="false" customWidth="true" hidden="false" outlineLevel="0" max="9" min="9" style="1" width="38.29"/>
    <col collapsed="false" customWidth="true" hidden="false" outlineLevel="0" max="11" min="10" style="1" width="12.71"/>
    <col collapsed="false" customWidth="true" hidden="false" outlineLevel="0" max="12" min="12" style="1" width="22.86"/>
    <col collapsed="false" customWidth="true" hidden="false" outlineLevel="0" max="13" min="13" style="1" width="7.29"/>
    <col collapsed="false" customWidth="true" hidden="false" outlineLevel="0" max="14" min="14" style="1" width="13.29"/>
    <col collapsed="false" customWidth="true" hidden="false" outlineLevel="0" max="15" min="15" style="1" width="10.14"/>
    <col collapsed="false" customWidth="true" hidden="false" outlineLevel="0" max="16" min="16" style="1" width="10.85"/>
    <col collapsed="false" customWidth="true" hidden="false" outlineLevel="0" max="17" min="17" style="1" width="23"/>
    <col collapsed="false" customWidth="true" hidden="false" outlineLevel="0" max="18" min="18" style="1" width="12"/>
    <col collapsed="false" customWidth="true" hidden="false" outlineLevel="0" max="26" min="19" style="1" width="8.71"/>
  </cols>
  <sheetData>
    <row r="1" customFormat="false" ht="15" hidden="false" customHeight="true" outlineLevel="0" collapsed="false">
      <c r="B1" s="37" t="s">
        <v>550</v>
      </c>
      <c r="D1" s="38" t="n">
        <v>46316</v>
      </c>
    </row>
    <row r="2" customFormat="false" ht="15" hidden="false" customHeight="true" outlineLevel="0" collapsed="false">
      <c r="B2" s="39" t="s">
        <v>24</v>
      </c>
      <c r="C2" s="39" t="s">
        <v>551</v>
      </c>
      <c r="D2" s="39" t="s">
        <v>21</v>
      </c>
      <c r="E2" s="40" t="s">
        <v>552</v>
      </c>
      <c r="F2" s="40" t="s">
        <v>553</v>
      </c>
      <c r="G2" s="39" t="s">
        <v>23</v>
      </c>
      <c r="H2" s="39" t="s">
        <v>554</v>
      </c>
      <c r="I2" s="39" t="s">
        <v>129</v>
      </c>
      <c r="J2" s="23" t="s">
        <v>555</v>
      </c>
      <c r="K2" s="23"/>
      <c r="L2" s="23" t="s">
        <v>556</v>
      </c>
      <c r="M2" s="1" t="n">
        <f aca="false">COUNTIF(D3:D83,"Bl6")</f>
        <v>0</v>
      </c>
    </row>
    <row r="3" customFormat="false" ht="15.75" hidden="false" customHeight="true" outlineLevel="0" collapsed="false">
      <c r="B3" s="21" t="s">
        <v>131</v>
      </c>
      <c r="D3" s="41" t="s">
        <v>132</v>
      </c>
      <c r="E3" s="21" t="s">
        <v>36</v>
      </c>
      <c r="F3" s="21" t="n">
        <v>2</v>
      </c>
      <c r="G3" s="42" t="n">
        <v>46269</v>
      </c>
      <c r="M3" s="43"/>
    </row>
    <row r="4" customFormat="false" ht="15.75" hidden="false" customHeight="true" outlineLevel="0" collapsed="false">
      <c r="B4" s="21" t="s">
        <v>133</v>
      </c>
      <c r="D4" s="41" t="s">
        <v>132</v>
      </c>
      <c r="E4" s="21" t="s">
        <v>41</v>
      </c>
      <c r="F4" s="21" t="n">
        <v>2</v>
      </c>
      <c r="G4" s="42" t="n">
        <v>46269</v>
      </c>
      <c r="M4" s="43"/>
    </row>
    <row r="5" customFormat="false" ht="15.75" hidden="false" customHeight="true" outlineLevel="0" collapsed="false">
      <c r="B5" s="21" t="s">
        <v>134</v>
      </c>
      <c r="D5" s="44"/>
      <c r="G5" s="42"/>
      <c r="M5" s="43"/>
    </row>
    <row r="6" customFormat="false" ht="15.75" hidden="false" customHeight="true" outlineLevel="0" collapsed="false">
      <c r="B6" s="21" t="s">
        <v>135</v>
      </c>
      <c r="D6" s="44"/>
      <c r="G6" s="42"/>
      <c r="M6" s="43"/>
    </row>
    <row r="7" customFormat="false" ht="15.75" hidden="false" customHeight="true" outlineLevel="0" collapsed="false">
      <c r="B7" s="21" t="s">
        <v>37</v>
      </c>
      <c r="D7" s="21" t="s">
        <v>136</v>
      </c>
      <c r="E7" s="21" t="s">
        <v>137</v>
      </c>
      <c r="F7" s="21" t="n">
        <v>2</v>
      </c>
      <c r="G7" s="45" t="s">
        <v>557</v>
      </c>
      <c r="I7" s="46"/>
      <c r="J7" s="21"/>
      <c r="M7" s="43"/>
    </row>
    <row r="8" customFormat="false" ht="15.75" hidden="false" customHeight="true" outlineLevel="0" collapsed="false">
      <c r="B8" s="21" t="s">
        <v>139</v>
      </c>
      <c r="D8" s="21" t="s">
        <v>140</v>
      </c>
      <c r="E8" s="21" t="s">
        <v>36</v>
      </c>
      <c r="F8" s="21" t="n">
        <v>3</v>
      </c>
      <c r="G8" s="42" t="n">
        <v>46269</v>
      </c>
      <c r="M8" s="43"/>
    </row>
    <row r="9" customFormat="false" ht="15.75" hidden="false" customHeight="true" outlineLevel="0" collapsed="false">
      <c r="B9" s="21" t="s">
        <v>141</v>
      </c>
      <c r="G9" s="42"/>
      <c r="I9" s="23"/>
      <c r="J9" s="47"/>
      <c r="M9" s="43"/>
    </row>
    <row r="10" customFormat="false" ht="15.75" hidden="false" customHeight="true" outlineLevel="0" collapsed="false">
      <c r="B10" s="21" t="s">
        <v>44</v>
      </c>
      <c r="D10" s="44" t="s">
        <v>142</v>
      </c>
      <c r="E10" s="21" t="s">
        <v>137</v>
      </c>
      <c r="F10" s="21" t="n">
        <v>2</v>
      </c>
      <c r="G10" s="45" t="s">
        <v>558</v>
      </c>
      <c r="M10" s="43"/>
    </row>
    <row r="11" customFormat="false" ht="15.75" hidden="false" customHeight="true" outlineLevel="0" collapsed="false">
      <c r="B11" s="21" t="s">
        <v>49</v>
      </c>
      <c r="D11" s="44" t="s">
        <v>142</v>
      </c>
      <c r="E11" s="21" t="s">
        <v>137</v>
      </c>
      <c r="F11" s="21" t="n">
        <v>2</v>
      </c>
      <c r="G11" s="21" t="s">
        <v>559</v>
      </c>
      <c r="H11" s="48"/>
      <c r="M11" s="43"/>
    </row>
    <row r="12" customFormat="false" ht="15.75" hidden="false" customHeight="true" outlineLevel="0" collapsed="false">
      <c r="B12" s="21" t="s">
        <v>143</v>
      </c>
      <c r="D12" s="21" t="s">
        <v>136</v>
      </c>
      <c r="E12" s="21" t="s">
        <v>36</v>
      </c>
      <c r="F12" s="21" t="n">
        <v>2</v>
      </c>
      <c r="G12" s="49" t="n">
        <v>46272</v>
      </c>
      <c r="I12" s="48"/>
      <c r="M12" s="43"/>
    </row>
    <row r="13" customFormat="false" ht="15.75" hidden="false" customHeight="true" outlineLevel="0" collapsed="false">
      <c r="B13" s="21" t="s">
        <v>144</v>
      </c>
      <c r="D13" s="50" t="s">
        <v>43</v>
      </c>
      <c r="E13" s="21" t="s">
        <v>36</v>
      </c>
      <c r="F13" s="21" t="n">
        <v>4</v>
      </c>
      <c r="G13" s="49" t="n">
        <v>45943</v>
      </c>
      <c r="I13" s="21" t="s">
        <v>145</v>
      </c>
      <c r="M13" s="51"/>
    </row>
    <row r="14" customFormat="false" ht="15.75" hidden="false" customHeight="true" outlineLevel="0" collapsed="false">
      <c r="B14" s="21" t="s">
        <v>146</v>
      </c>
      <c r="D14" s="21" t="s">
        <v>136</v>
      </c>
      <c r="E14" s="21" t="s">
        <v>41</v>
      </c>
      <c r="F14" s="21" t="n">
        <v>3</v>
      </c>
      <c r="G14" s="49" t="n">
        <v>46272</v>
      </c>
      <c r="I14" s="52"/>
      <c r="M14" s="51"/>
    </row>
    <row r="15" customFormat="false" ht="15.75" hidden="false" customHeight="true" outlineLevel="0" collapsed="false">
      <c r="B15" s="21" t="s">
        <v>55</v>
      </c>
      <c r="D15" s="44" t="s">
        <v>142</v>
      </c>
      <c r="E15" s="21" t="s">
        <v>137</v>
      </c>
      <c r="F15" s="21" t="n">
        <v>3</v>
      </c>
      <c r="G15" s="21" t="s">
        <v>560</v>
      </c>
      <c r="M15" s="43"/>
    </row>
    <row r="16" customFormat="false" ht="15.75" hidden="false" customHeight="true" outlineLevel="0" collapsed="false">
      <c r="B16" s="21" t="s">
        <v>147</v>
      </c>
      <c r="G16" s="53"/>
      <c r="M16" s="43"/>
    </row>
    <row r="17" customFormat="false" ht="15.75" hidden="false" customHeight="true" outlineLevel="0" collapsed="false">
      <c r="B17" s="21" t="s">
        <v>148</v>
      </c>
      <c r="D17" s="50" t="s">
        <v>43</v>
      </c>
      <c r="E17" s="43" t="s">
        <v>41</v>
      </c>
      <c r="F17" s="54" t="n">
        <v>2</v>
      </c>
      <c r="G17" s="55" t="n">
        <v>45943</v>
      </c>
      <c r="I17" s="21" t="s">
        <v>145</v>
      </c>
    </row>
    <row r="18" customFormat="false" ht="15.75" hidden="false" customHeight="true" outlineLevel="0" collapsed="false">
      <c r="B18" s="21" t="s">
        <v>149</v>
      </c>
      <c r="D18" s="41" t="s">
        <v>132</v>
      </c>
      <c r="E18" s="21" t="s">
        <v>41</v>
      </c>
      <c r="F18" s="21" t="n">
        <v>2</v>
      </c>
      <c r="G18" s="56" t="n">
        <v>46241</v>
      </c>
      <c r="H18" s="57"/>
      <c r="I18" s="46"/>
      <c r="J18" s="47"/>
    </row>
    <row r="19" customFormat="false" ht="15.75" hidden="false" customHeight="true" outlineLevel="0" collapsed="false">
      <c r="B19" s="21" t="s">
        <v>150</v>
      </c>
      <c r="F19" s="43"/>
      <c r="G19" s="42"/>
      <c r="M19" s="43"/>
    </row>
    <row r="20" customFormat="false" ht="15.75" hidden="false" customHeight="true" outlineLevel="0" collapsed="false">
      <c r="B20" s="21" t="s">
        <v>151</v>
      </c>
      <c r="D20" s="41" t="s">
        <v>152</v>
      </c>
      <c r="E20" s="21" t="s">
        <v>36</v>
      </c>
      <c r="F20" s="21" t="n">
        <v>2</v>
      </c>
      <c r="G20" s="58" t="n">
        <v>46274</v>
      </c>
      <c r="I20" s="46"/>
    </row>
    <row r="21" customFormat="false" ht="15.75" hidden="false" customHeight="true" outlineLevel="0" collapsed="false">
      <c r="B21" s="21" t="s">
        <v>153</v>
      </c>
      <c r="D21" s="21" t="s">
        <v>154</v>
      </c>
      <c r="E21" s="21" t="s">
        <v>41</v>
      </c>
      <c r="F21" s="21" t="n">
        <v>1</v>
      </c>
      <c r="G21" s="42" t="n">
        <v>46144</v>
      </c>
    </row>
    <row r="22" customFormat="false" ht="15.75" hidden="false" customHeight="true" outlineLevel="0" collapsed="false">
      <c r="B22" s="21" t="s">
        <v>155</v>
      </c>
      <c r="D22" s="21" t="s">
        <v>136</v>
      </c>
      <c r="E22" s="21" t="s">
        <v>36</v>
      </c>
      <c r="F22" s="21" t="n">
        <v>3</v>
      </c>
      <c r="G22" s="42" t="n">
        <v>46228</v>
      </c>
      <c r="H22" s="52"/>
      <c r="I22" s="59"/>
      <c r="J22" s="47"/>
    </row>
    <row r="23" customFormat="false" ht="15.75" hidden="false" customHeight="true" outlineLevel="0" collapsed="false">
      <c r="B23" s="21" t="s">
        <v>156</v>
      </c>
      <c r="D23" s="60"/>
      <c r="G23" s="42"/>
    </row>
    <row r="24" customFormat="false" ht="15.75" hidden="false" customHeight="true" outlineLevel="0" collapsed="false">
      <c r="B24" s="21" t="s">
        <v>157</v>
      </c>
      <c r="D24" s="41" t="s">
        <v>132</v>
      </c>
      <c r="E24" s="21" t="s">
        <v>36</v>
      </c>
      <c r="F24" s="21" t="n">
        <v>1</v>
      </c>
      <c r="G24" s="42" t="n">
        <v>46241</v>
      </c>
      <c r="I24" s="52"/>
    </row>
    <row r="25" customFormat="false" ht="15.75" hidden="false" customHeight="true" outlineLevel="0" collapsed="false">
      <c r="B25" s="21" t="s">
        <v>158</v>
      </c>
      <c r="D25" s="41" t="s">
        <v>132</v>
      </c>
      <c r="E25" s="21" t="s">
        <v>36</v>
      </c>
      <c r="F25" s="21" t="n">
        <v>2</v>
      </c>
      <c r="G25" s="42" t="n">
        <v>46218</v>
      </c>
    </row>
    <row r="26" customFormat="false" ht="15.75" hidden="false" customHeight="true" outlineLevel="0" collapsed="false">
      <c r="B26" s="21" t="s">
        <v>159</v>
      </c>
      <c r="D26" s="21" t="s">
        <v>154</v>
      </c>
      <c r="E26" s="21" t="s">
        <v>36</v>
      </c>
      <c r="F26" s="21" t="n">
        <v>2</v>
      </c>
      <c r="G26" s="56" t="n">
        <v>46144</v>
      </c>
      <c r="H26" s="57"/>
      <c r="I26" s="52"/>
    </row>
    <row r="27" customFormat="false" ht="15.75" hidden="false" customHeight="true" outlineLevel="0" collapsed="false">
      <c r="B27" s="21" t="s">
        <v>160</v>
      </c>
      <c r="D27" s="41" t="s">
        <v>152</v>
      </c>
      <c r="E27" s="21" t="s">
        <v>41</v>
      </c>
      <c r="F27" s="21" t="n">
        <v>1</v>
      </c>
      <c r="G27" s="58" t="n">
        <v>46274</v>
      </c>
    </row>
    <row r="28" customFormat="false" ht="15.75" hidden="false" customHeight="true" outlineLevel="0" collapsed="false">
      <c r="B28" s="21" t="s">
        <v>161</v>
      </c>
      <c r="D28" s="44" t="s">
        <v>142</v>
      </c>
      <c r="E28" s="21" t="s">
        <v>41</v>
      </c>
      <c r="F28" s="21" t="n">
        <v>1</v>
      </c>
      <c r="G28" s="42" t="n">
        <v>45650</v>
      </c>
      <c r="H28" s="57"/>
      <c r="I28" s="61" t="s">
        <v>162</v>
      </c>
    </row>
    <row r="29" customFormat="false" ht="15.75" hidden="false" customHeight="true" outlineLevel="0" collapsed="false">
      <c r="B29" s="21" t="s">
        <v>163</v>
      </c>
      <c r="D29" s="41" t="s">
        <v>164</v>
      </c>
      <c r="E29" s="21" t="s">
        <v>36</v>
      </c>
      <c r="F29" s="21" t="n">
        <v>1</v>
      </c>
      <c r="G29" s="42" t="n">
        <v>46238</v>
      </c>
    </row>
    <row r="30" customFormat="false" ht="15.75" hidden="false" customHeight="true" outlineLevel="0" collapsed="false">
      <c r="B30" s="21" t="s">
        <v>165</v>
      </c>
      <c r="D30" s="41" t="s">
        <v>164</v>
      </c>
      <c r="E30" s="21" t="s">
        <v>41</v>
      </c>
      <c r="F30" s="21" t="n">
        <v>2</v>
      </c>
      <c r="G30" s="42" t="n">
        <v>46238</v>
      </c>
    </row>
    <row r="31" customFormat="false" ht="15.75" hidden="false" customHeight="true" outlineLevel="0" collapsed="false">
      <c r="B31" s="21" t="s">
        <v>166</v>
      </c>
      <c r="D31" s="44" t="s">
        <v>167</v>
      </c>
      <c r="E31" s="21" t="s">
        <v>36</v>
      </c>
      <c r="F31" s="21" t="n">
        <v>2</v>
      </c>
      <c r="G31" s="42" t="n">
        <v>46284</v>
      </c>
      <c r="I31" s="21" t="s">
        <v>168</v>
      </c>
    </row>
    <row r="32" customFormat="false" ht="15.75" hidden="false" customHeight="true" outlineLevel="0" collapsed="false">
      <c r="B32" s="21" t="s">
        <v>169</v>
      </c>
      <c r="D32" s="44"/>
      <c r="F32" s="43"/>
      <c r="G32" s="62"/>
    </row>
    <row r="33" customFormat="false" ht="15.75" hidden="false" customHeight="true" outlineLevel="0" collapsed="false">
      <c r="B33" s="21" t="s">
        <v>170</v>
      </c>
      <c r="D33" s="44"/>
      <c r="F33" s="43"/>
      <c r="G33" s="62"/>
    </row>
    <row r="34" customFormat="false" ht="15.75" hidden="false" customHeight="true" outlineLevel="0" collapsed="false">
      <c r="B34" s="21" t="s">
        <v>61</v>
      </c>
      <c r="D34" s="44" t="s">
        <v>142</v>
      </c>
      <c r="E34" s="21" t="s">
        <v>137</v>
      </c>
      <c r="F34" s="21" t="n">
        <v>2</v>
      </c>
      <c r="G34" s="21" t="s">
        <v>561</v>
      </c>
    </row>
    <row r="35" customFormat="false" ht="15.75" hidden="false" customHeight="true" outlineLevel="0" collapsed="false">
      <c r="B35" s="21" t="s">
        <v>172</v>
      </c>
      <c r="D35" s="44" t="s">
        <v>167</v>
      </c>
      <c r="E35" s="21" t="s">
        <v>41</v>
      </c>
      <c r="F35" s="43" t="n">
        <v>3</v>
      </c>
      <c r="G35" s="42" t="n">
        <v>46053</v>
      </c>
      <c r="I35" s="21" t="s">
        <v>168</v>
      </c>
    </row>
    <row r="36" customFormat="false" ht="15.75" hidden="false" customHeight="true" outlineLevel="0" collapsed="false">
      <c r="B36" s="21" t="s">
        <v>173</v>
      </c>
      <c r="D36" s="21" t="s">
        <v>136</v>
      </c>
      <c r="E36" s="21" t="s">
        <v>41</v>
      </c>
      <c r="F36" s="21" t="n">
        <v>2</v>
      </c>
      <c r="G36" s="42" t="n">
        <v>46293</v>
      </c>
    </row>
    <row r="37" customFormat="false" ht="15.75" hidden="false" customHeight="true" outlineLevel="0" collapsed="false">
      <c r="B37" s="21" t="s">
        <v>174</v>
      </c>
      <c r="G37" s="45"/>
    </row>
    <row r="38" customFormat="false" ht="15.75" hidden="false" customHeight="true" outlineLevel="0" collapsed="false">
      <c r="B38" s="21" t="s">
        <v>175</v>
      </c>
      <c r="D38" s="60"/>
      <c r="G38" s="42"/>
    </row>
    <row r="39" customFormat="false" ht="15.75" hidden="false" customHeight="true" outlineLevel="0" collapsed="false">
      <c r="B39" s="21" t="s">
        <v>176</v>
      </c>
      <c r="D39" s="21" t="s">
        <v>77</v>
      </c>
      <c r="E39" s="21" t="s">
        <v>41</v>
      </c>
      <c r="F39" s="21" t="n">
        <v>4</v>
      </c>
      <c r="G39" s="56" t="n">
        <v>46286</v>
      </c>
      <c r="H39" s="57"/>
    </row>
    <row r="40" customFormat="false" ht="15.75" hidden="false" customHeight="true" outlineLevel="0" collapsed="false">
      <c r="B40" s="21" t="s">
        <v>177</v>
      </c>
      <c r="D40" s="21" t="s">
        <v>77</v>
      </c>
      <c r="E40" s="21" t="s">
        <v>36</v>
      </c>
      <c r="F40" s="21" t="n">
        <v>4</v>
      </c>
      <c r="G40" s="42" t="n">
        <v>46286</v>
      </c>
    </row>
    <row r="41" customFormat="false" ht="15.75" hidden="false" customHeight="true" outlineLevel="0" collapsed="false">
      <c r="B41" s="21" t="s">
        <v>178</v>
      </c>
      <c r="D41" s="21" t="s">
        <v>136</v>
      </c>
      <c r="E41" s="21" t="s">
        <v>36</v>
      </c>
      <c r="F41" s="21" t="n">
        <v>5</v>
      </c>
      <c r="G41" s="58" t="n">
        <v>46294</v>
      </c>
    </row>
    <row r="42" customFormat="false" ht="15.75" hidden="false" customHeight="true" outlineLevel="0" collapsed="false">
      <c r="B42" s="21" t="s">
        <v>179</v>
      </c>
      <c r="D42" s="21"/>
      <c r="E42" s="21"/>
      <c r="F42" s="43"/>
      <c r="G42" s="42"/>
    </row>
    <row r="43" customFormat="false" ht="15.75" hidden="false" customHeight="true" outlineLevel="0" collapsed="false">
      <c r="B43" s="21" t="s">
        <v>180</v>
      </c>
      <c r="D43" s="44" t="s">
        <v>167</v>
      </c>
      <c r="E43" s="21" t="s">
        <v>36</v>
      </c>
      <c r="F43" s="21" t="n">
        <v>3</v>
      </c>
      <c r="G43" s="42" t="n">
        <v>46061</v>
      </c>
      <c r="H43" s="57"/>
      <c r="I43" s="21" t="s">
        <v>168</v>
      </c>
    </row>
    <row r="44" customFormat="false" ht="15.75" hidden="false" customHeight="true" outlineLevel="0" collapsed="false">
      <c r="B44" s="21" t="s">
        <v>181</v>
      </c>
      <c r="F44" s="63"/>
      <c r="G44" s="42"/>
      <c r="H44" s="57"/>
      <c r="I44" s="46"/>
    </row>
    <row r="45" customFormat="false" ht="15.75" hidden="false" customHeight="true" outlineLevel="0" collapsed="false">
      <c r="B45" s="21" t="s">
        <v>182</v>
      </c>
      <c r="F45" s="63"/>
      <c r="G45" s="42"/>
      <c r="H45" s="57"/>
      <c r="I45" s="46"/>
    </row>
    <row r="46" customFormat="false" ht="15.75" hidden="false" customHeight="true" outlineLevel="0" collapsed="false">
      <c r="B46" s="21" t="s">
        <v>183</v>
      </c>
      <c r="D46" s="59"/>
      <c r="G46" s="56"/>
    </row>
    <row r="47" customFormat="false" ht="15.75" hidden="false" customHeight="true" outlineLevel="0" collapsed="false">
      <c r="B47" s="21" t="s">
        <v>184</v>
      </c>
      <c r="D47" s="21"/>
      <c r="E47" s="21"/>
      <c r="F47" s="21"/>
      <c r="G47" s="42"/>
    </row>
    <row r="48" customFormat="false" ht="15.75" hidden="false" customHeight="true" outlineLevel="0" collapsed="false">
      <c r="B48" s="21" t="s">
        <v>185</v>
      </c>
      <c r="G48" s="42"/>
    </row>
    <row r="49" customFormat="false" ht="15.75" hidden="false" customHeight="true" outlineLevel="0" collapsed="false">
      <c r="B49" s="21" t="s">
        <v>186</v>
      </c>
      <c r="D49" s="44"/>
      <c r="G49" s="42"/>
    </row>
    <row r="50" customFormat="false" ht="15.75" hidden="false" customHeight="true" outlineLevel="0" collapsed="false">
      <c r="B50" s="21" t="s">
        <v>187</v>
      </c>
      <c r="D50" s="21" t="s">
        <v>188</v>
      </c>
      <c r="E50" s="21" t="s">
        <v>41</v>
      </c>
      <c r="F50" s="21" t="n">
        <v>3</v>
      </c>
      <c r="G50" s="42" t="n">
        <v>46208</v>
      </c>
    </row>
    <row r="51" customFormat="false" ht="15.75" hidden="false" customHeight="true" outlineLevel="0" collapsed="false">
      <c r="B51" s="21" t="s">
        <v>68</v>
      </c>
      <c r="D51" s="21" t="s">
        <v>189</v>
      </c>
      <c r="E51" s="21" t="s">
        <v>137</v>
      </c>
      <c r="F51" s="21" t="n">
        <v>2</v>
      </c>
      <c r="G51" s="21" t="s">
        <v>562</v>
      </c>
    </row>
    <row r="52" customFormat="false" ht="15.75" hidden="false" customHeight="true" outlineLevel="0" collapsed="false">
      <c r="B52" s="21" t="s">
        <v>190</v>
      </c>
      <c r="G52" s="42"/>
    </row>
    <row r="53" customFormat="false" ht="15.75" hidden="false" customHeight="true" outlineLevel="0" collapsed="false">
      <c r="B53" s="21" t="s">
        <v>191</v>
      </c>
      <c r="D53" s="21" t="s">
        <v>188</v>
      </c>
      <c r="E53" s="21" t="s">
        <v>36</v>
      </c>
      <c r="F53" s="21" t="n">
        <v>3</v>
      </c>
      <c r="G53" s="42" t="n">
        <v>46148</v>
      </c>
    </row>
    <row r="54" customFormat="false" ht="15.75" hidden="false" customHeight="true" outlineLevel="0" collapsed="false">
      <c r="B54" s="21" t="s">
        <v>192</v>
      </c>
      <c r="G54" s="42"/>
    </row>
    <row r="55" customFormat="false" ht="15.75" hidden="false" customHeight="true" outlineLevel="0" collapsed="false">
      <c r="B55" s="21" t="s">
        <v>193</v>
      </c>
      <c r="D55" s="21" t="s">
        <v>188</v>
      </c>
      <c r="E55" s="21" t="s">
        <v>36</v>
      </c>
      <c r="F55" s="21" t="n">
        <v>2</v>
      </c>
      <c r="G55" s="42" t="n">
        <v>46208</v>
      </c>
    </row>
    <row r="56" customFormat="false" ht="15.75" hidden="false" customHeight="true" outlineLevel="0" collapsed="false">
      <c r="B56" s="21" t="s">
        <v>194</v>
      </c>
      <c r="D56" s="64" t="s">
        <v>154</v>
      </c>
      <c r="E56" s="21" t="s">
        <v>36</v>
      </c>
      <c r="F56" s="21" t="n">
        <v>4</v>
      </c>
      <c r="G56" s="42" t="n">
        <v>46099</v>
      </c>
      <c r="I56" s="21" t="s">
        <v>195</v>
      </c>
    </row>
    <row r="57" customFormat="false" ht="15.75" hidden="false" customHeight="true" outlineLevel="0" collapsed="false">
      <c r="B57" s="21" t="s">
        <v>196</v>
      </c>
      <c r="D57" s="21" t="s">
        <v>77</v>
      </c>
      <c r="E57" s="21" t="s">
        <v>41</v>
      </c>
      <c r="F57" s="21" t="n">
        <v>5</v>
      </c>
      <c r="G57" s="42" t="n">
        <v>46023</v>
      </c>
      <c r="I57" s="21" t="s">
        <v>145</v>
      </c>
      <c r="J57" s="21"/>
    </row>
    <row r="58" customFormat="false" ht="15.75" hidden="false" customHeight="true" outlineLevel="0" collapsed="false">
      <c r="B58" s="21" t="s">
        <v>197</v>
      </c>
      <c r="D58" s="60" t="s">
        <v>189</v>
      </c>
      <c r="E58" s="21" t="s">
        <v>36</v>
      </c>
      <c r="F58" s="21" t="n">
        <v>3</v>
      </c>
      <c r="G58" s="42" t="n">
        <v>45990</v>
      </c>
      <c r="I58" s="21" t="s">
        <v>198</v>
      </c>
    </row>
    <row r="59" customFormat="false" ht="15.75" hidden="false" customHeight="true" outlineLevel="0" collapsed="false">
      <c r="B59" s="21" t="s">
        <v>73</v>
      </c>
      <c r="D59" s="65" t="s">
        <v>199</v>
      </c>
      <c r="E59" s="21" t="s">
        <v>137</v>
      </c>
      <c r="F59" s="63" t="n">
        <v>2</v>
      </c>
      <c r="G59" s="21" t="s">
        <v>563</v>
      </c>
      <c r="I59" s="21" t="s">
        <v>124</v>
      </c>
    </row>
    <row r="60" customFormat="false" ht="15.75" hidden="false" customHeight="true" outlineLevel="0" collapsed="false">
      <c r="B60" s="21" t="s">
        <v>201</v>
      </c>
      <c r="D60" s="21" t="s">
        <v>154</v>
      </c>
      <c r="E60" s="21" t="s">
        <v>41</v>
      </c>
      <c r="F60" s="21" t="n">
        <v>3</v>
      </c>
      <c r="G60" s="58" t="n">
        <v>46199</v>
      </c>
      <c r="J60" s="21"/>
    </row>
    <row r="61" customFormat="false" ht="15.75" hidden="false" customHeight="true" outlineLevel="0" collapsed="false">
      <c r="B61" s="21" t="s">
        <v>202</v>
      </c>
      <c r="D61" s="60" t="s">
        <v>188</v>
      </c>
      <c r="E61" s="21" t="s">
        <v>36</v>
      </c>
      <c r="F61" s="21" t="n">
        <v>2</v>
      </c>
      <c r="G61" s="53" t="n">
        <v>46104</v>
      </c>
      <c r="I61" s="66"/>
    </row>
    <row r="62" customFormat="false" ht="15.75" hidden="false" customHeight="true" outlineLevel="0" collapsed="false">
      <c r="B62" s="21" t="s">
        <v>78</v>
      </c>
      <c r="D62" s="21" t="s">
        <v>77</v>
      </c>
      <c r="E62" s="21" t="s">
        <v>137</v>
      </c>
      <c r="F62" s="21" t="n">
        <v>2</v>
      </c>
      <c r="G62" s="21" t="s">
        <v>564</v>
      </c>
    </row>
    <row r="63" customFormat="false" ht="15.75" hidden="false" customHeight="true" outlineLevel="0" collapsed="false">
      <c r="B63" s="21" t="s">
        <v>203</v>
      </c>
      <c r="D63" s="21" t="s">
        <v>77</v>
      </c>
      <c r="E63" s="21" t="s">
        <v>36</v>
      </c>
      <c r="F63" s="21" t="n">
        <v>4</v>
      </c>
      <c r="G63" s="42" t="n">
        <v>46245</v>
      </c>
      <c r="I63" s="46"/>
    </row>
    <row r="64" customFormat="false" ht="15.75" hidden="false" customHeight="true" outlineLevel="0" collapsed="false">
      <c r="B64" s="21" t="s">
        <v>83</v>
      </c>
      <c r="D64" s="64" t="s">
        <v>154</v>
      </c>
      <c r="E64" s="21" t="s">
        <v>137</v>
      </c>
      <c r="F64" s="21" t="n">
        <v>3</v>
      </c>
      <c r="G64" s="21" t="s">
        <v>565</v>
      </c>
      <c r="I64" s="21" t="s">
        <v>125</v>
      </c>
    </row>
    <row r="65" customFormat="false" ht="15.75" hidden="false" customHeight="true" outlineLevel="0" collapsed="false">
      <c r="B65" s="21" t="s">
        <v>90</v>
      </c>
      <c r="D65" s="41" t="s">
        <v>152</v>
      </c>
      <c r="E65" s="21" t="s">
        <v>137</v>
      </c>
      <c r="F65" s="21" t="n">
        <v>2</v>
      </c>
      <c r="G65" s="21" t="s">
        <v>566</v>
      </c>
    </row>
    <row r="66" customFormat="false" ht="15.75" hidden="false" customHeight="true" outlineLevel="0" collapsed="false">
      <c r="B66" s="21" t="s">
        <v>205</v>
      </c>
      <c r="D66" s="21" t="s">
        <v>77</v>
      </c>
      <c r="E66" s="21" t="s">
        <v>36</v>
      </c>
      <c r="F66" s="21" t="n">
        <v>3</v>
      </c>
      <c r="G66" s="53" t="n">
        <v>46001</v>
      </c>
      <c r="I66" s="21" t="s">
        <v>145</v>
      </c>
    </row>
    <row r="67" customFormat="false" ht="15.75" hidden="false" customHeight="true" outlineLevel="0" collapsed="false">
      <c r="B67" s="21" t="s">
        <v>94</v>
      </c>
      <c r="D67" s="21" t="s">
        <v>136</v>
      </c>
      <c r="E67" s="21" t="s">
        <v>137</v>
      </c>
      <c r="F67" s="21" t="n">
        <v>2</v>
      </c>
      <c r="G67" s="21" t="s">
        <v>567</v>
      </c>
      <c r="I67" s="21" t="s">
        <v>125</v>
      </c>
    </row>
    <row r="68" customFormat="false" ht="15.75" hidden="false" customHeight="true" outlineLevel="0" collapsed="false">
      <c r="A68" s="66"/>
      <c r="B68" s="21" t="s">
        <v>206</v>
      </c>
      <c r="D68" s="21" t="s">
        <v>154</v>
      </c>
      <c r="E68" s="21" t="s">
        <v>41</v>
      </c>
      <c r="F68" s="21" t="n">
        <v>1</v>
      </c>
      <c r="G68" s="58" t="n">
        <v>46225</v>
      </c>
      <c r="I68" s="21" t="s">
        <v>207</v>
      </c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customFormat="false" ht="15.75" hidden="false" customHeight="true" outlineLevel="0" collapsed="false">
      <c r="B69" s="21" t="s">
        <v>99</v>
      </c>
      <c r="D69" s="44" t="s">
        <v>167</v>
      </c>
      <c r="E69" s="21" t="s">
        <v>137</v>
      </c>
      <c r="F69" s="21" t="n">
        <v>2</v>
      </c>
      <c r="G69" s="42" t="n">
        <v>45524</v>
      </c>
    </row>
    <row r="70" customFormat="false" ht="15.75" hidden="false" customHeight="true" outlineLevel="0" collapsed="false">
      <c r="B70" s="21" t="s">
        <v>208</v>
      </c>
      <c r="D70" s="44" t="s">
        <v>142</v>
      </c>
      <c r="E70" s="21" t="s">
        <v>36</v>
      </c>
      <c r="F70" s="21" t="n">
        <v>1</v>
      </c>
      <c r="G70" s="42" t="n">
        <v>46229</v>
      </c>
    </row>
    <row r="71" customFormat="false" ht="15.75" hidden="false" customHeight="true" outlineLevel="0" collapsed="false">
      <c r="B71" s="21" t="s">
        <v>103</v>
      </c>
      <c r="D71" s="44" t="s">
        <v>142</v>
      </c>
      <c r="E71" s="21" t="s">
        <v>137</v>
      </c>
      <c r="F71" s="21" t="n">
        <v>2</v>
      </c>
      <c r="G71" s="21" t="s">
        <v>568</v>
      </c>
    </row>
    <row r="72" customFormat="false" ht="15.75" hidden="false" customHeight="true" outlineLevel="0" collapsed="false">
      <c r="B72" s="21" t="s">
        <v>209</v>
      </c>
      <c r="D72" s="44" t="s">
        <v>142</v>
      </c>
      <c r="E72" s="21" t="s">
        <v>41</v>
      </c>
      <c r="F72" s="21" t="n">
        <v>1</v>
      </c>
      <c r="G72" s="42" t="n">
        <v>46229</v>
      </c>
    </row>
    <row r="73" customFormat="false" ht="15.75" hidden="false" customHeight="true" outlineLevel="0" collapsed="false">
      <c r="B73" s="21" t="s">
        <v>210</v>
      </c>
      <c r="D73" s="44" t="s">
        <v>142</v>
      </c>
      <c r="E73" s="21" t="s">
        <v>41</v>
      </c>
      <c r="F73" s="63" t="n">
        <v>3</v>
      </c>
      <c r="G73" s="67" t="n">
        <v>46272</v>
      </c>
      <c r="H73" s="57"/>
    </row>
    <row r="74" customFormat="false" ht="15.75" hidden="false" customHeight="true" outlineLevel="0" collapsed="false">
      <c r="B74" s="21" t="s">
        <v>211</v>
      </c>
      <c r="D74" s="41" t="s">
        <v>152</v>
      </c>
      <c r="E74" s="21" t="s">
        <v>36</v>
      </c>
      <c r="F74" s="21" t="n">
        <v>3</v>
      </c>
      <c r="G74" s="42" t="n">
        <v>46229</v>
      </c>
      <c r="H74" s="57"/>
      <c r="I74" s="57"/>
    </row>
    <row r="75" customFormat="false" ht="15.75" hidden="false" customHeight="true" outlineLevel="0" collapsed="false">
      <c r="B75" s="21" t="s">
        <v>212</v>
      </c>
      <c r="D75" s="60" t="s">
        <v>189</v>
      </c>
      <c r="E75" s="21" t="s">
        <v>36</v>
      </c>
      <c r="F75" s="21" t="n">
        <v>4</v>
      </c>
      <c r="G75" s="42" t="n">
        <v>46010</v>
      </c>
    </row>
    <row r="76" customFormat="false" ht="15.75" hidden="false" customHeight="true" outlineLevel="0" collapsed="false">
      <c r="B76" s="1" t="s">
        <v>213</v>
      </c>
      <c r="D76" s="41" t="s">
        <v>152</v>
      </c>
      <c r="E76" s="21" t="s">
        <v>41</v>
      </c>
      <c r="F76" s="63" t="n">
        <v>5</v>
      </c>
      <c r="G76" s="42" t="n">
        <v>46022</v>
      </c>
      <c r="I76" s="57"/>
    </row>
    <row r="77" customFormat="false" ht="15.75" hidden="false" customHeight="true" outlineLevel="0" collapsed="false">
      <c r="B77" s="1" t="s">
        <v>214</v>
      </c>
      <c r="D77" s="21" t="s">
        <v>188</v>
      </c>
      <c r="E77" s="21" t="s">
        <v>41</v>
      </c>
      <c r="F77" s="21" t="n">
        <v>1</v>
      </c>
      <c r="G77" s="42" t="n">
        <v>45944</v>
      </c>
      <c r="I77" s="21" t="s">
        <v>215</v>
      </c>
    </row>
    <row r="78" customFormat="false" ht="15" hidden="false" customHeight="true" outlineLevel="0" collapsed="false">
      <c r="B78" s="1" t="s">
        <v>216</v>
      </c>
      <c r="D78" s="21" t="s">
        <v>136</v>
      </c>
      <c r="E78" s="21" t="s">
        <v>41</v>
      </c>
      <c r="F78" s="21" t="n">
        <v>2</v>
      </c>
      <c r="G78" s="56" t="n">
        <v>45814</v>
      </c>
      <c r="I78" s="46" t="s">
        <v>217</v>
      </c>
    </row>
    <row r="79" customFormat="false" ht="15.75" hidden="false" customHeight="true" outlineLevel="0" collapsed="false">
      <c r="B79" s="1" t="s">
        <v>108</v>
      </c>
      <c r="D79" s="41" t="s">
        <v>152</v>
      </c>
      <c r="E79" s="21" t="s">
        <v>137</v>
      </c>
      <c r="F79" s="21" t="n">
        <v>2</v>
      </c>
      <c r="G79" s="58" t="n">
        <v>46229</v>
      </c>
      <c r="J79" s="47"/>
    </row>
    <row r="80" customFormat="false" ht="15.75" hidden="false" customHeight="true" outlineLevel="0" collapsed="false">
      <c r="B80" s="1" t="s">
        <v>218</v>
      </c>
      <c r="D80" s="21" t="s">
        <v>77</v>
      </c>
      <c r="E80" s="21" t="s">
        <v>36</v>
      </c>
      <c r="F80" s="63" t="n">
        <v>3</v>
      </c>
      <c r="G80" s="42" t="n">
        <v>46069</v>
      </c>
    </row>
    <row r="81" customFormat="false" ht="15.75" hidden="false" customHeight="true" outlineLevel="0" collapsed="false">
      <c r="B81" s="1" t="s">
        <v>219</v>
      </c>
      <c r="D81" s="21" t="s">
        <v>154</v>
      </c>
      <c r="E81" s="21" t="s">
        <v>41</v>
      </c>
      <c r="F81" s="21" t="n">
        <v>1</v>
      </c>
      <c r="G81" s="42" t="n">
        <v>46180</v>
      </c>
    </row>
    <row r="82" customFormat="false" ht="15.75" hidden="false" customHeight="true" outlineLevel="0" collapsed="false">
      <c r="B82" s="1" t="s">
        <v>220</v>
      </c>
      <c r="D82" s="41" t="s">
        <v>152</v>
      </c>
      <c r="E82" s="21" t="s">
        <v>36</v>
      </c>
      <c r="F82" s="21" t="n">
        <v>3</v>
      </c>
      <c r="G82" s="58" t="n">
        <v>45959</v>
      </c>
    </row>
    <row r="83" customFormat="false" ht="15" hidden="false" customHeight="true" outlineLevel="0" collapsed="false">
      <c r="B83" s="1" t="s">
        <v>221</v>
      </c>
      <c r="D83" s="44" t="s">
        <v>142</v>
      </c>
      <c r="E83" s="21" t="s">
        <v>36</v>
      </c>
      <c r="F83" s="21" t="n">
        <v>3</v>
      </c>
      <c r="G83" s="58" t="n">
        <v>46272</v>
      </c>
      <c r="I83" s="21"/>
    </row>
    <row r="84" customFormat="false" ht="15" hidden="false" customHeight="true" outlineLevel="0" collapsed="false">
      <c r="B84" s="1" t="s">
        <v>222</v>
      </c>
      <c r="D84" s="44" t="s">
        <v>142</v>
      </c>
      <c r="E84" s="21" t="s">
        <v>36</v>
      </c>
      <c r="F84" s="21" t="n">
        <v>3</v>
      </c>
      <c r="G84" s="58" t="n">
        <v>46272</v>
      </c>
      <c r="I84" s="21"/>
    </row>
    <row r="85" customFormat="false" ht="15.75" hidden="false" customHeight="true" outlineLevel="0" collapsed="false">
      <c r="B85" s="21" t="s">
        <v>223</v>
      </c>
      <c r="D85" s="60" t="s">
        <v>189</v>
      </c>
      <c r="E85" s="21" t="s">
        <v>41</v>
      </c>
      <c r="F85" s="21" t="n">
        <v>3</v>
      </c>
      <c r="G85" s="68" t="n">
        <v>46076</v>
      </c>
    </row>
    <row r="86" customFormat="false" ht="15.75" hidden="false" customHeight="true" outlineLevel="0" collapsed="false">
      <c r="B86" s="21" t="s">
        <v>224</v>
      </c>
      <c r="D86" s="64"/>
      <c r="G86" s="42"/>
    </row>
    <row r="87" customFormat="false" ht="15.75" hidden="false" customHeight="true" outlineLevel="0" collapsed="false">
      <c r="B87" s="21" t="s">
        <v>225</v>
      </c>
      <c r="D87" s="64" t="s">
        <v>154</v>
      </c>
      <c r="E87" s="21" t="s">
        <v>36</v>
      </c>
      <c r="F87" s="21" t="n">
        <v>2</v>
      </c>
      <c r="G87" s="42" t="n">
        <v>45935</v>
      </c>
      <c r="H87" s="43"/>
      <c r="I87" s="46" t="s">
        <v>217</v>
      </c>
    </row>
    <row r="88" customFormat="false" ht="15.75" hidden="false" customHeight="true" outlineLevel="0" collapsed="false">
      <c r="B88" s="21" t="s">
        <v>226</v>
      </c>
      <c r="D88" s="64" t="s">
        <v>154</v>
      </c>
      <c r="E88" s="21" t="s">
        <v>41</v>
      </c>
      <c r="F88" s="21" t="n">
        <v>4</v>
      </c>
      <c r="G88" s="42" t="n">
        <v>45935</v>
      </c>
      <c r="I88" s="46" t="s">
        <v>217</v>
      </c>
    </row>
    <row r="89" customFormat="false" ht="15.75" hidden="false" customHeight="true" outlineLevel="0" collapsed="false">
      <c r="B89" s="21" t="s">
        <v>227</v>
      </c>
      <c r="D89" s="64" t="s">
        <v>154</v>
      </c>
      <c r="E89" s="21" t="s">
        <v>36</v>
      </c>
      <c r="F89" s="21" t="n">
        <v>4</v>
      </c>
      <c r="G89" s="42" t="n">
        <v>46225</v>
      </c>
      <c r="I89" s="21" t="s">
        <v>207</v>
      </c>
    </row>
    <row r="90" customFormat="false" ht="15.75" hidden="false" customHeight="true" outlineLevel="0" collapsed="false">
      <c r="B90" s="21" t="s">
        <v>228</v>
      </c>
      <c r="D90" s="44"/>
      <c r="G90" s="56"/>
      <c r="H90" s="43"/>
      <c r="I90" s="61"/>
    </row>
    <row r="91" customFormat="false" ht="15.75" hidden="false" customHeight="true" outlineLevel="0" collapsed="false">
      <c r="B91" s="21" t="s">
        <v>229</v>
      </c>
      <c r="D91" s="44"/>
      <c r="G91" s="56"/>
      <c r="H91" s="43"/>
    </row>
    <row r="92" customFormat="false" ht="15.75" hidden="false" customHeight="true" outlineLevel="0" collapsed="false">
      <c r="B92" s="21" t="s">
        <v>230</v>
      </c>
      <c r="C92" s="43"/>
      <c r="F92" s="43"/>
      <c r="G92" s="69"/>
      <c r="H92" s="43"/>
      <c r="I92" s="70"/>
    </row>
    <row r="93" customFormat="false" ht="15.75" hidden="false" customHeight="true" outlineLevel="0" collapsed="false">
      <c r="B93" s="21" t="s">
        <v>231</v>
      </c>
      <c r="C93" s="43"/>
      <c r="F93" s="43"/>
      <c r="G93" s="71"/>
      <c r="H93" s="43"/>
      <c r="I93" s="70"/>
    </row>
    <row r="94" customFormat="false" ht="15.75" hidden="false" customHeight="true" outlineLevel="0" collapsed="false">
      <c r="B94" s="21" t="s">
        <v>232</v>
      </c>
      <c r="C94" s="43"/>
      <c r="F94" s="43"/>
      <c r="G94" s="71"/>
      <c r="H94" s="43"/>
      <c r="I94" s="70"/>
      <c r="O94" s="23"/>
    </row>
    <row r="95" customFormat="false" ht="15.75" hidden="false" customHeight="true" outlineLevel="0" collapsed="false">
      <c r="C95" s="43"/>
      <c r="F95" s="43"/>
      <c r="G95" s="71"/>
      <c r="I95" s="70"/>
      <c r="J95" s="23"/>
      <c r="K95" s="23"/>
      <c r="L95" s="23"/>
    </row>
    <row r="96" customFormat="false" ht="15.75" hidden="false" customHeight="true" outlineLevel="0" collapsed="false">
      <c r="C96" s="43"/>
      <c r="F96" s="72" t="n">
        <f aca="false">SUM(F3:F94)</f>
        <v>168</v>
      </c>
      <c r="G96" s="51"/>
      <c r="H96" s="43" t="n">
        <f aca="false">SUM(H3:H91)</f>
        <v>0</v>
      </c>
    </row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>
      <c r="C103" s="43"/>
      <c r="F103" s="43"/>
      <c r="G103" s="73"/>
      <c r="H103" s="43"/>
      <c r="I103" s="54"/>
    </row>
    <row r="104" customFormat="false" ht="15.75" hidden="false" customHeight="true" outlineLevel="0" collapsed="false">
      <c r="C104" s="43"/>
      <c r="F104" s="43"/>
      <c r="G104" s="73"/>
      <c r="H104" s="43"/>
      <c r="I104" s="70"/>
    </row>
    <row r="105" customFormat="false" ht="15.75" hidden="false" customHeight="true" outlineLevel="0" collapsed="false">
      <c r="C105" s="43"/>
      <c r="F105" s="43"/>
      <c r="G105" s="73"/>
      <c r="H105" s="43"/>
      <c r="I105" s="70"/>
    </row>
    <row r="106" customFormat="false" ht="15.75" hidden="false" customHeight="true" outlineLevel="0" collapsed="false">
      <c r="C106" s="43"/>
      <c r="F106" s="63"/>
      <c r="G106" s="74"/>
      <c r="I106" s="70"/>
    </row>
    <row r="107" customFormat="false" ht="15.75" hidden="false" customHeight="true" outlineLevel="0" collapsed="false">
      <c r="C107" s="43"/>
      <c r="F107" s="43"/>
      <c r="G107" s="73"/>
      <c r="H107" s="43"/>
      <c r="I107" s="54"/>
    </row>
    <row r="108" customFormat="false" ht="15.75" hidden="false" customHeight="true" outlineLevel="0" collapsed="false">
      <c r="I108" s="75"/>
    </row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>
      <c r="B178" s="21"/>
      <c r="D178" s="21"/>
      <c r="E178" s="21"/>
      <c r="F178" s="21"/>
      <c r="G178" s="76"/>
    </row>
    <row r="179" customFormat="false" ht="15.75" hidden="false" customHeight="true" outlineLevel="0" collapsed="false">
      <c r="B179" s="21"/>
      <c r="D179" s="21"/>
      <c r="E179" s="21"/>
      <c r="F179" s="21"/>
      <c r="G179" s="76"/>
    </row>
    <row r="180" customFormat="false" ht="15.75" hidden="false" customHeight="true" outlineLevel="0" collapsed="false">
      <c r="B180" s="21"/>
      <c r="D180" s="21"/>
      <c r="E180" s="21"/>
      <c r="F180" s="21"/>
      <c r="G180" s="76"/>
    </row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  <row r="1114" customFormat="false" ht="15.75" hidden="false" customHeight="true" outlineLevel="0" collapsed="false"/>
    <row r="1115" customFormat="false" ht="15.75" hidden="false" customHeight="true" outlineLevel="0" collapsed="false"/>
    <row r="1116" customFormat="false" ht="15.75" hidden="false" customHeight="true" outlineLevel="0" collapsed="false"/>
    <row r="1117" customFormat="false" ht="15.75" hidden="false" customHeight="true" outlineLevel="0" collapsed="false"/>
    <row r="1118" customFormat="false" ht="15.75" hidden="false" customHeight="true" outlineLevel="0" collapsed="false"/>
    <row r="1119" customFormat="false" ht="15.75" hidden="false" customHeight="true" outlineLevel="0" collapsed="false"/>
    <row r="1120" customFormat="false" ht="15.75" hidden="false" customHeight="true" outlineLevel="0" collapsed="false"/>
    <row r="1121" customFormat="false" ht="15.75" hidden="false" customHeight="true" outlineLevel="0" collapsed="false"/>
    <row r="1122" customFormat="false" ht="15.75" hidden="false" customHeight="true" outlineLevel="0" collapsed="false"/>
    <row r="1123" customFormat="false" ht="15.75" hidden="false" customHeight="true" outlineLevel="0" collapsed="false"/>
    <row r="1124" customFormat="false" ht="15.75" hidden="false" customHeight="true" outlineLevel="0" collapsed="false"/>
    <row r="1125" customFormat="false" ht="15.75" hidden="false" customHeight="true" outlineLevel="0" collapsed="false"/>
    <row r="1126" customFormat="false" ht="15.75" hidden="false" customHeight="true" outlineLevel="0" collapsed="false"/>
    <row r="1127" customFormat="false" ht="15.75" hidden="false" customHeight="true" outlineLevel="0" collapsed="false"/>
    <row r="1128" customFormat="false" ht="15.75" hidden="false" customHeight="true" outlineLevel="0" collapsed="false"/>
    <row r="1129" customFormat="false" ht="15.75" hidden="false" customHeight="true" outlineLevel="0" collapsed="false"/>
    <row r="1130" customFormat="false" ht="15.75" hidden="false" customHeight="true" outlineLevel="0" collapsed="false"/>
    <row r="1131" customFormat="false" ht="15.75" hidden="false" customHeight="true" outlineLevel="0" collapsed="false"/>
    <row r="1132" customFormat="false" ht="15.75" hidden="false" customHeight="true" outlineLevel="0" collapsed="false"/>
    <row r="1133" customFormat="false" ht="15.75" hidden="false" customHeight="true" outlineLevel="0" collapsed="false"/>
    <row r="1134" customFormat="false" ht="15.75" hidden="false" customHeight="true" outlineLevel="0" collapsed="false"/>
    <row r="1135" customFormat="false" ht="15.75" hidden="false" customHeight="true" outlineLevel="0" collapsed="false"/>
    <row r="1136" customFormat="false" ht="15.75" hidden="false" customHeight="true" outlineLevel="0" collapsed="false"/>
    <row r="1137" customFormat="false" ht="15.75" hidden="false" customHeight="true" outlineLevel="0" collapsed="false"/>
    <row r="1138" customFormat="false" ht="15.75" hidden="false" customHeight="true" outlineLevel="0" collapsed="false"/>
    <row r="1139" customFormat="false" ht="15.75" hidden="false" customHeight="true" outlineLevel="0" collapsed="false"/>
    <row r="1140" customFormat="false" ht="15.75" hidden="false" customHeight="true" outlineLevel="0" collapsed="false"/>
    <row r="1141" customFormat="false" ht="15.75" hidden="false" customHeight="true" outlineLevel="0" collapsed="false"/>
    <row r="1142" customFormat="false" ht="15.75" hidden="false" customHeight="true" outlineLevel="0" collapsed="false"/>
    <row r="1143" customFormat="false" ht="15.75" hidden="false" customHeight="true" outlineLevel="0" collapsed="false"/>
    <row r="1144" customFormat="false" ht="15.75" hidden="false" customHeight="true" outlineLevel="0" collapsed="false"/>
    <row r="1145" customFormat="false" ht="15.75" hidden="false" customHeight="true" outlineLevel="0" collapsed="false"/>
    <row r="1146" customFormat="false" ht="15.75" hidden="false" customHeight="true" outlineLevel="0" collapsed="false"/>
    <row r="1147" customFormat="false" ht="15.75" hidden="false" customHeight="true" outlineLevel="0" collapsed="false"/>
    <row r="1148" customFormat="false" ht="15.75" hidden="false" customHeight="true" outlineLevel="0" collapsed="false"/>
    <row r="1149" customFormat="false" ht="15.75" hidden="false" customHeight="true" outlineLevel="0" collapsed="false"/>
    <row r="1150" customFormat="false" ht="15.75" hidden="false" customHeight="true" outlineLevel="0" collapsed="false"/>
    <row r="1151" customFormat="false" ht="15.75" hidden="false" customHeight="true" outlineLevel="0" collapsed="false"/>
    <row r="1152" customFormat="false" ht="15.75" hidden="false" customHeight="true" outlineLevel="0" collapsed="false"/>
    <row r="1153" customFormat="false" ht="15.75" hidden="false" customHeight="true" outlineLevel="0" collapsed="false"/>
    <row r="1154" customFormat="false" ht="15.75" hidden="false" customHeight="true" outlineLevel="0" collapsed="false"/>
    <row r="1155" customFormat="false" ht="15.75" hidden="false" customHeight="true" outlineLevel="0" collapsed="false"/>
    <row r="1156" customFormat="false" ht="15.75" hidden="false" customHeight="true" outlineLevel="0" collapsed="false"/>
    <row r="1157" customFormat="false" ht="15.75" hidden="false" customHeight="true" outlineLevel="0" collapsed="false"/>
    <row r="1158" customFormat="false" ht="15.75" hidden="false" customHeight="true" outlineLevel="0" collapsed="false"/>
    <row r="1159" customFormat="false" ht="15.75" hidden="false" customHeight="true" outlineLevel="0" collapsed="false"/>
    <row r="1160" customFormat="false" ht="15.75" hidden="false" customHeight="true" outlineLevel="0" collapsed="false"/>
    <row r="1161" customFormat="false" ht="15.75" hidden="false" customHeight="true" outlineLevel="0" collapsed="false"/>
    <row r="1162" customFormat="false" ht="15.75" hidden="false" customHeight="true" outlineLevel="0" collapsed="false"/>
    <row r="1163" customFormat="false" ht="15.75" hidden="false" customHeight="true" outlineLevel="0" collapsed="false"/>
    <row r="1164" customFormat="false" ht="15.75" hidden="false" customHeight="true" outlineLevel="0" collapsed="false"/>
    <row r="1165" customFormat="false" ht="15.75" hidden="false" customHeight="true" outlineLevel="0" collapsed="false"/>
    <row r="1166" customFormat="false" ht="15.75" hidden="false" customHeight="true" outlineLevel="0" collapsed="false"/>
    <row r="1167" customFormat="false" ht="15.75" hidden="false" customHeight="true" outlineLevel="0" collapsed="false"/>
    <row r="1168" customFormat="false" ht="15.75" hidden="false" customHeight="true" outlineLevel="0" collapsed="false"/>
    <row r="1169" customFormat="false" ht="15.75" hidden="false" customHeight="true" outlineLevel="0" collapsed="false"/>
    <row r="1170" customFormat="false" ht="15.75" hidden="false" customHeight="true" outlineLevel="0" collapsed="false"/>
    <row r="1171" customFormat="false" ht="15.75" hidden="false" customHeight="true" outlineLevel="0" collapsed="false"/>
    <row r="1172" customFormat="false" ht="15.75" hidden="false" customHeight="true" outlineLevel="0" collapsed="false"/>
    <row r="1173" customFormat="false" ht="15.75" hidden="false" customHeight="true" outlineLevel="0" collapsed="false"/>
    <row r="1174" customFormat="false" ht="15.75" hidden="false" customHeight="true" outlineLevel="0" collapsed="false"/>
    <row r="1175" customFormat="false" ht="15.75" hidden="false" customHeight="true" outlineLevel="0" collapsed="false"/>
    <row r="1176" customFormat="false" ht="15.75" hidden="false" customHeight="true" outlineLevel="0" collapsed="false"/>
    <row r="1177" customFormat="false" ht="15.75" hidden="false" customHeight="true" outlineLevel="0" collapsed="false"/>
    <row r="1178" customFormat="false" ht="15.75" hidden="false" customHeight="true" outlineLevel="0" collapsed="false"/>
    <row r="1179" customFormat="false" ht="15.75" hidden="false" customHeight="true" outlineLevel="0" collapsed="false"/>
    <row r="1180" customFormat="false" ht="15.75" hidden="false" customHeight="true" outlineLevel="0" collapsed="false"/>
    <row r="1181" customFormat="false" ht="15.75" hidden="false" customHeight="true" outlineLevel="0" collapsed="false"/>
    <row r="1182" customFormat="false" ht="15.75" hidden="false" customHeight="true" outlineLevel="0" collapsed="false"/>
    <row r="1183" customFormat="false" ht="15.75" hidden="false" customHeight="true" outlineLevel="0" collapsed="false"/>
    <row r="1184" customFormat="false" ht="15.75" hidden="false" customHeight="true" outlineLevel="0" collapsed="false"/>
    <row r="1185" customFormat="false" ht="15.75" hidden="false" customHeight="true" outlineLevel="0" collapsed="false"/>
    <row r="1186" customFormat="false" ht="15.75" hidden="false" customHeight="true" outlineLevel="0" collapsed="false"/>
    <row r="1187" customFormat="false" ht="15.75" hidden="false" customHeight="true" outlineLevel="0" collapsed="false"/>
    <row r="1188" customFormat="false" ht="15.75" hidden="false" customHeight="true" outlineLevel="0" collapsed="false"/>
    <row r="1189" customFormat="false" ht="15.75" hidden="false" customHeight="true" outlineLevel="0" collapsed="false"/>
    <row r="1190" customFormat="false" ht="15.75" hidden="false" customHeight="true" outlineLevel="0" collapsed="false"/>
    <row r="1191" customFormat="false" ht="15.75" hidden="false" customHeight="true" outlineLevel="0" collapsed="false"/>
    <row r="1192" customFormat="false" ht="15.75" hidden="false" customHeight="true" outlineLevel="0" collapsed="false"/>
    <row r="1193" customFormat="false" ht="15.75" hidden="false" customHeight="true" outlineLevel="0" collapsed="false"/>
    <row r="1194" customFormat="false" ht="15.75" hidden="false" customHeight="true" outlineLevel="0" collapsed="false"/>
    <row r="1195" customFormat="false" ht="15.75" hidden="false" customHeight="true" outlineLevel="0" collapsed="false"/>
    <row r="1196" customFormat="false" ht="15.75" hidden="false" customHeight="true" outlineLevel="0" collapsed="false"/>
    <row r="1197" customFormat="false" ht="15.75" hidden="false" customHeight="true" outlineLevel="0" collapsed="false"/>
    <row r="1198" customFormat="false" ht="15.75" hidden="false" customHeight="true" outlineLevel="0" collapsed="false"/>
    <row r="1199" customFormat="false" ht="15.75" hidden="false" customHeight="true" outlineLevel="0" collapsed="false"/>
    <row r="1200" customFormat="false" ht="15.75" hidden="false" customHeight="true" outlineLevel="0" collapsed="false"/>
    <row r="1201" customFormat="false" ht="15.75" hidden="false" customHeight="true" outlineLevel="0" collapsed="false"/>
    <row r="1202" customFormat="false" ht="15.75" hidden="false" customHeight="true" outlineLevel="0" collapsed="false"/>
    <row r="1203" customFormat="false" ht="15.75" hidden="false" customHeight="true" outlineLevel="0" collapsed="false"/>
    <row r="1204" customFormat="false" ht="15.75" hidden="false" customHeight="true" outlineLevel="0" collapsed="false"/>
    <row r="1205" customFormat="false" ht="15.75" hidden="false" customHeight="true" outlineLevel="0" collapsed="false"/>
    <row r="1206" customFormat="false" ht="15.75" hidden="false" customHeight="true" outlineLevel="0" collapsed="false"/>
    <row r="1207" customFormat="false" ht="15.75" hidden="false" customHeight="true" outlineLevel="0" collapsed="false"/>
    <row r="1208" customFormat="false" ht="15.75" hidden="false" customHeight="true" outlineLevel="0" collapsed="false"/>
    <row r="1209" customFormat="false" ht="15.75" hidden="false" customHeight="true" outlineLevel="0" collapsed="false"/>
    <row r="1210" customFormat="false" ht="15.75" hidden="false" customHeight="true" outlineLevel="0" collapsed="false"/>
    <row r="1211" customFormat="false" ht="15.75" hidden="false" customHeight="true" outlineLevel="0" collapsed="false"/>
    <row r="1212" customFormat="false" ht="15.75" hidden="false" customHeight="true" outlineLevel="0" collapsed="false"/>
    <row r="1213" customFormat="false" ht="15.75" hidden="false" customHeight="true" outlineLevel="0" collapsed="false"/>
    <row r="1214" customFormat="false" ht="15.75" hidden="false" customHeight="true" outlineLevel="0" collapsed="false"/>
    <row r="1215" customFormat="false" ht="15.75" hidden="false" customHeight="true" outlineLevel="0" collapsed="false"/>
    <row r="1216" customFormat="false" ht="15.75" hidden="false" customHeight="true" outlineLevel="0" collapsed="false"/>
    <row r="1217" customFormat="false" ht="15.75" hidden="false" customHeight="true" outlineLevel="0" collapsed="false"/>
    <row r="1218" customFormat="false" ht="15.75" hidden="false" customHeight="true" outlineLevel="0" collapsed="false"/>
    <row r="1219" customFormat="false" ht="15.75" hidden="false" customHeight="true" outlineLevel="0" collapsed="false"/>
    <row r="1220" customFormat="false" ht="15.75" hidden="false" customHeight="true" outlineLevel="0" collapsed="false"/>
    <row r="1221" customFormat="false" ht="15.75" hidden="false" customHeight="true" outlineLevel="0" collapsed="false"/>
    <row r="1222" customFormat="false" ht="15.75" hidden="false" customHeight="true" outlineLevel="0" collapsed="false"/>
    <row r="1223" customFormat="false" ht="15.75" hidden="false" customHeight="true" outlineLevel="0" collapsed="false"/>
    <row r="1224" customFormat="false" ht="15.75" hidden="false" customHeight="true" outlineLevel="0" collapsed="false"/>
    <row r="1225" customFormat="false" ht="15.75" hidden="false" customHeight="true" outlineLevel="0" collapsed="false"/>
    <row r="1226" customFormat="false" ht="15.75" hidden="false" customHeight="true" outlineLevel="0" collapsed="false"/>
    <row r="1227" customFormat="false" ht="15.75" hidden="false" customHeight="true" outlineLevel="0" collapsed="false"/>
    <row r="1228" customFormat="false" ht="15.75" hidden="false" customHeight="true" outlineLevel="0" collapsed="false"/>
    <row r="1229" customFormat="false" ht="15.75" hidden="false" customHeight="true" outlineLevel="0" collapsed="false"/>
    <row r="1230" customFormat="false" ht="15.75" hidden="false" customHeight="true" outlineLevel="0" collapsed="false"/>
    <row r="1231" customFormat="false" ht="15.75" hidden="false" customHeight="true" outlineLevel="0" collapsed="false"/>
    <row r="1232" customFormat="false" ht="15.75" hidden="false" customHeight="true" outlineLevel="0" collapsed="false"/>
    <row r="1233" customFormat="false" ht="15.75" hidden="false" customHeight="true" outlineLevel="0" collapsed="false"/>
    <row r="1234" customFormat="false" ht="15.75" hidden="false" customHeight="true" outlineLevel="0" collapsed="false"/>
    <row r="1235" customFormat="false" ht="15.75" hidden="false" customHeight="true" outlineLevel="0" collapsed="false"/>
    <row r="1236" customFormat="false" ht="15.75" hidden="false" customHeight="true" outlineLevel="0" collapsed="false"/>
    <row r="1237" customFormat="false" ht="15.75" hidden="false" customHeight="true" outlineLevel="0" collapsed="false"/>
    <row r="1238" customFormat="false" ht="15.75" hidden="false" customHeight="true" outlineLevel="0" collapsed="false"/>
    <row r="1239" customFormat="false" ht="15.75" hidden="false" customHeight="true" outlineLevel="0" collapsed="false"/>
    <row r="1240" customFormat="false" ht="15.75" hidden="false" customHeight="true" outlineLevel="0" collapsed="false"/>
    <row r="1241" customFormat="false" ht="15.75" hidden="false" customHeight="true" outlineLevel="0" collapsed="false"/>
    <row r="1242" customFormat="false" ht="15.75" hidden="false" customHeight="true" outlineLevel="0" collapsed="false"/>
    <row r="1243" customFormat="false" ht="15.75" hidden="false" customHeight="true" outlineLevel="0" collapsed="false"/>
    <row r="1244" customFormat="false" ht="15.75" hidden="false" customHeight="true" outlineLevel="0" collapsed="false"/>
    <row r="1245" customFormat="false" ht="15.75" hidden="false" customHeight="true" outlineLevel="0" collapsed="false"/>
    <row r="1246" customFormat="false" ht="15.75" hidden="false" customHeight="true" outlineLevel="0" collapsed="false"/>
    <row r="1247" customFormat="false" ht="15.75" hidden="false" customHeight="true" outlineLevel="0" collapsed="false"/>
    <row r="1248" customFormat="false" ht="15.75" hidden="false" customHeight="true" outlineLevel="0" collapsed="false"/>
    <row r="1249" customFormat="false" ht="15.75" hidden="false" customHeight="true" outlineLevel="0" collapsed="false"/>
    <row r="1250" customFormat="false" ht="15.75" hidden="false" customHeight="true" outlineLevel="0" collapsed="false"/>
    <row r="1251" customFormat="false" ht="15.75" hidden="false" customHeight="true" outlineLevel="0" collapsed="false"/>
    <row r="1252" customFormat="false" ht="15.75" hidden="false" customHeight="true" outlineLevel="0" collapsed="false"/>
    <row r="1253" customFormat="false" ht="15.75" hidden="false" customHeight="true" outlineLevel="0" collapsed="false"/>
    <row r="1254" customFormat="false" ht="15.75" hidden="false" customHeight="true" outlineLevel="0" collapsed="false"/>
    <row r="1255" customFormat="false" ht="15.75" hidden="false" customHeight="true" outlineLevel="0" collapsed="false"/>
    <row r="1256" customFormat="false" ht="15.75" hidden="false" customHeight="true" outlineLevel="0" collapsed="false"/>
    <row r="1257" customFormat="false" ht="15.75" hidden="false" customHeight="true" outlineLevel="0" collapsed="false"/>
    <row r="1258" customFormat="false" ht="15.75" hidden="false" customHeight="true" outlineLevel="0" collapsed="false"/>
    <row r="1259" customFormat="false" ht="15.75" hidden="false" customHeight="true" outlineLevel="0" collapsed="false"/>
    <row r="1260" customFormat="false" ht="15.75" hidden="false" customHeight="true" outlineLevel="0" collapsed="false"/>
    <row r="1261" customFormat="false" ht="15.75" hidden="false" customHeight="true" outlineLevel="0" collapsed="false"/>
    <row r="1262" customFormat="false" ht="15.75" hidden="false" customHeight="true" outlineLevel="0" collapsed="false"/>
    <row r="1263" customFormat="false" ht="15.75" hidden="false" customHeight="true" outlineLevel="0" collapsed="false"/>
    <row r="1264" customFormat="false" ht="15.75" hidden="false" customHeight="true" outlineLevel="0" collapsed="false"/>
    <row r="1265" customFormat="false" ht="15.75" hidden="false" customHeight="true" outlineLevel="0" collapsed="false"/>
    <row r="1266" customFormat="false" ht="15.75" hidden="false" customHeight="true" outlineLevel="0" collapsed="false"/>
    <row r="1267" customFormat="false" ht="15.75" hidden="false" customHeight="true" outlineLevel="0" collapsed="false"/>
    <row r="1268" customFormat="false" ht="15.75" hidden="false" customHeight="true" outlineLevel="0" collapsed="false"/>
    <row r="1269" customFormat="false" ht="15.75" hidden="false" customHeight="true" outlineLevel="0" collapsed="false"/>
    <row r="1270" customFormat="false" ht="15.75" hidden="false" customHeight="true" outlineLevel="0" collapsed="false"/>
    <row r="1271" customFormat="false" ht="15.75" hidden="false" customHeight="true" outlineLevel="0" collapsed="false"/>
    <row r="1272" customFormat="false" ht="15.75" hidden="false" customHeight="true" outlineLevel="0" collapsed="false"/>
    <row r="1273" customFormat="false" ht="15.75" hidden="false" customHeight="true" outlineLevel="0" collapsed="false"/>
    <row r="1274" customFormat="false" ht="15.75" hidden="false" customHeight="true" outlineLevel="0" collapsed="false"/>
    <row r="1275" customFormat="false" ht="15.75" hidden="false" customHeight="true" outlineLevel="0" collapsed="false"/>
    <row r="1276" customFormat="false" ht="15.75" hidden="false" customHeight="true" outlineLevel="0" collapsed="false"/>
    <row r="1277" customFormat="false" ht="15.75" hidden="false" customHeight="true" outlineLevel="0" collapsed="false"/>
    <row r="1278" customFormat="false" ht="15.75" hidden="false" customHeight="true" outlineLevel="0" collapsed="false"/>
    <row r="1279" customFormat="false" ht="15.75" hidden="false" customHeight="true" outlineLevel="0" collapsed="false"/>
    <row r="1280" customFormat="false" ht="15.75" hidden="false" customHeight="true" outlineLevel="0" collapsed="false"/>
    <row r="1281" customFormat="false" ht="15.75" hidden="false" customHeight="true" outlineLevel="0" collapsed="false"/>
    <row r="1282" customFormat="false" ht="15.75" hidden="false" customHeight="true" outlineLevel="0" collapsed="false"/>
    <row r="1283" customFormat="false" ht="15.75" hidden="false" customHeight="true" outlineLevel="0" collapsed="false"/>
    <row r="1284" customFormat="false" ht="15.75" hidden="false" customHeight="true" outlineLevel="0" collapsed="false"/>
    <row r="1285" customFormat="false" ht="15.75" hidden="false" customHeight="true" outlineLevel="0" collapsed="false"/>
    <row r="1286" customFormat="false" ht="15.75" hidden="false" customHeight="true" outlineLevel="0" collapsed="false"/>
    <row r="1287" customFormat="false" ht="15.75" hidden="false" customHeight="true" outlineLevel="0" collapsed="false"/>
    <row r="1288" customFormat="false" ht="15.75" hidden="false" customHeight="true" outlineLevel="0" collapsed="false"/>
    <row r="1289" customFormat="false" ht="15.75" hidden="false" customHeight="true" outlineLevel="0" collapsed="false"/>
    <row r="1290" customFormat="false" ht="15.75" hidden="false" customHeight="true" outlineLevel="0" collapsed="false"/>
    <row r="1291" customFormat="false" ht="15.75" hidden="false" customHeight="true" outlineLevel="0" collapsed="false"/>
    <row r="1292" customFormat="false" ht="15.75" hidden="false" customHeight="true" outlineLevel="0" collapsed="false"/>
    <row r="1293" customFormat="false" ht="15.75" hidden="false" customHeight="true" outlineLevel="0" collapsed="false"/>
    <row r="1294" customFormat="false" ht="15.75" hidden="false" customHeight="true" outlineLevel="0" collapsed="false"/>
    <row r="1295" customFormat="false" ht="15.75" hidden="false" customHeight="true" outlineLevel="0" collapsed="false"/>
    <row r="1296" customFormat="false" ht="15.75" hidden="false" customHeight="true" outlineLevel="0" collapsed="false"/>
    <row r="1297" customFormat="false" ht="15.75" hidden="false" customHeight="true" outlineLevel="0" collapsed="false"/>
    <row r="1298" customFormat="false" ht="15.75" hidden="false" customHeight="true" outlineLevel="0" collapsed="false"/>
    <row r="1299" customFormat="false" ht="15.75" hidden="false" customHeight="true" outlineLevel="0" collapsed="false"/>
    <row r="1300" customFormat="false" ht="15.75" hidden="false" customHeight="true" outlineLevel="0" collapsed="false"/>
    <row r="1301" customFormat="false" ht="15.75" hidden="false" customHeight="true" outlineLevel="0" collapsed="false"/>
    <row r="1302" customFormat="false" ht="15.75" hidden="false" customHeight="true" outlineLevel="0" collapsed="false"/>
    <row r="1303" customFormat="false" ht="15.75" hidden="false" customHeight="true" outlineLevel="0" collapsed="false"/>
    <row r="1304" customFormat="false" ht="15.75" hidden="false" customHeight="true" outlineLevel="0" collapsed="false"/>
    <row r="1305" customFormat="false" ht="15.75" hidden="false" customHeight="true" outlineLevel="0" collapsed="false"/>
    <row r="1306" customFormat="false" ht="15.75" hidden="false" customHeight="true" outlineLevel="0" collapsed="false"/>
    <row r="1307" customFormat="false" ht="15.75" hidden="false" customHeight="true" outlineLevel="0" collapsed="false"/>
    <row r="1308" customFormat="false" ht="15.75" hidden="false" customHeight="true" outlineLevel="0" collapsed="false"/>
    <row r="1309" customFormat="false" ht="15.75" hidden="false" customHeight="true" outlineLevel="0" collapsed="false"/>
    <row r="1310" customFormat="false" ht="15.75" hidden="false" customHeight="true" outlineLevel="0" collapsed="false"/>
    <row r="1311" customFormat="false" ht="15.75" hidden="false" customHeight="true" outlineLevel="0" collapsed="false"/>
    <row r="1312" customFormat="false" ht="15.75" hidden="false" customHeight="true" outlineLevel="0" collapsed="false"/>
    <row r="1313" customFormat="false" ht="15.75" hidden="false" customHeight="true" outlineLevel="0" collapsed="false"/>
    <row r="1314" customFormat="false" ht="15.75" hidden="false" customHeight="true" outlineLevel="0" collapsed="false"/>
    <row r="1315" customFormat="false" ht="15.75" hidden="false" customHeight="true" outlineLevel="0" collapsed="false"/>
    <row r="1316" customFormat="false" ht="15.75" hidden="false" customHeight="true" outlineLevel="0" collapsed="false"/>
    <row r="1317" customFormat="false" ht="15.75" hidden="false" customHeight="true" outlineLevel="0" collapsed="false"/>
    <row r="1318" customFormat="false" ht="15.75" hidden="false" customHeight="true" outlineLevel="0" collapsed="false"/>
    <row r="1319" customFormat="false" ht="15.75" hidden="false" customHeight="true" outlineLevel="0" collapsed="false"/>
    <row r="1320" customFormat="false" ht="15.75" hidden="false" customHeight="true" outlineLevel="0" collapsed="false"/>
    <row r="1321" customFormat="false" ht="15.75" hidden="false" customHeight="true" outlineLevel="0" collapsed="false"/>
    <row r="1322" customFormat="false" ht="15.75" hidden="false" customHeight="true" outlineLevel="0" collapsed="false"/>
    <row r="1323" customFormat="false" ht="15.75" hidden="false" customHeight="true" outlineLevel="0" collapsed="false"/>
    <row r="1324" customFormat="false" ht="15.75" hidden="false" customHeight="true" outlineLevel="0" collapsed="false"/>
    <row r="1325" customFormat="false" ht="15.75" hidden="false" customHeight="true" outlineLevel="0" collapsed="false"/>
    <row r="1326" customFormat="false" ht="15.75" hidden="false" customHeight="true" outlineLevel="0" collapsed="false"/>
    <row r="1327" customFormat="false" ht="15.75" hidden="false" customHeight="true" outlineLevel="0" collapsed="false"/>
    <row r="1328" customFormat="false" ht="15.75" hidden="false" customHeight="true" outlineLevel="0" collapsed="false"/>
    <row r="1329" customFormat="false" ht="15.75" hidden="false" customHeight="true" outlineLevel="0" collapsed="false"/>
    <row r="1330" customFormat="false" ht="15.75" hidden="false" customHeight="true" outlineLevel="0" collapsed="false"/>
    <row r="1331" customFormat="false" ht="15.75" hidden="false" customHeight="true" outlineLevel="0" collapsed="false"/>
    <row r="1332" customFormat="false" ht="15.75" hidden="false" customHeight="true" outlineLevel="0" collapsed="false"/>
    <row r="1333" customFormat="false" ht="15.75" hidden="false" customHeight="true" outlineLevel="0" collapsed="false"/>
    <row r="1334" customFormat="false" ht="15.75" hidden="false" customHeight="true" outlineLevel="0" collapsed="false"/>
    <row r="1335" customFormat="false" ht="15.75" hidden="false" customHeight="true" outlineLevel="0" collapsed="false"/>
    <row r="1336" customFormat="false" ht="15.75" hidden="false" customHeight="true" outlineLevel="0" collapsed="false"/>
    <row r="1337" customFormat="false" ht="15.75" hidden="false" customHeight="true" outlineLevel="0" collapsed="false"/>
    <row r="1338" customFormat="false" ht="15.75" hidden="false" customHeight="true" outlineLevel="0" collapsed="false"/>
    <row r="1339" customFormat="false" ht="15.75" hidden="false" customHeight="true" outlineLevel="0" collapsed="false"/>
    <row r="1340" customFormat="false" ht="15.75" hidden="false" customHeight="true" outlineLevel="0" collapsed="false"/>
    <row r="1341" customFormat="false" ht="15.75" hidden="false" customHeight="true" outlineLevel="0" collapsed="false"/>
    <row r="1342" customFormat="false" ht="15.75" hidden="false" customHeight="true" outlineLevel="0" collapsed="false"/>
    <row r="1343" customFormat="false" ht="15.75" hidden="false" customHeight="true" outlineLevel="0" collapsed="false"/>
    <row r="1344" customFormat="false" ht="15.75" hidden="false" customHeight="true" outlineLevel="0" collapsed="false"/>
    <row r="1345" customFormat="false" ht="15.75" hidden="false" customHeight="true" outlineLevel="0" collapsed="false"/>
    <row r="1346" customFormat="false" ht="15.75" hidden="false" customHeight="true" outlineLevel="0" collapsed="false"/>
    <row r="1347" customFormat="false" ht="15.75" hidden="false" customHeight="true" outlineLevel="0" collapsed="false"/>
    <row r="1348" customFormat="false" ht="15.75" hidden="false" customHeight="true" outlineLevel="0" collapsed="false"/>
    <row r="1349" customFormat="false" ht="15.75" hidden="false" customHeight="true" outlineLevel="0" collapsed="false"/>
    <row r="1350" customFormat="false" ht="15.75" hidden="false" customHeight="true" outlineLevel="0" collapsed="false"/>
    <row r="1351" customFormat="false" ht="15.75" hidden="false" customHeight="true" outlineLevel="0" collapsed="false"/>
    <row r="1352" customFormat="false" ht="15.75" hidden="false" customHeight="true" outlineLevel="0" collapsed="false"/>
    <row r="1353" customFormat="false" ht="15.75" hidden="false" customHeight="true" outlineLevel="0" collapsed="false"/>
    <row r="1354" customFormat="false" ht="15.75" hidden="false" customHeight="true" outlineLevel="0" collapsed="false"/>
    <row r="1355" customFormat="false" ht="15.75" hidden="false" customHeight="true" outlineLevel="0" collapsed="false"/>
    <row r="1356" customFormat="false" ht="15.75" hidden="false" customHeight="true" outlineLevel="0" collapsed="false"/>
    <row r="1357" customFormat="false" ht="15.75" hidden="false" customHeight="true" outlineLevel="0" collapsed="false"/>
    <row r="1358" customFormat="false" ht="15.75" hidden="false" customHeight="true" outlineLevel="0" collapsed="false"/>
    <row r="1359" customFormat="false" ht="15.75" hidden="false" customHeight="true" outlineLevel="0" collapsed="false"/>
    <row r="1360" customFormat="false" ht="15.75" hidden="false" customHeight="true" outlineLevel="0" collapsed="false"/>
    <row r="1361" customFormat="false" ht="15.75" hidden="false" customHeight="true" outlineLevel="0" collapsed="false"/>
    <row r="1362" customFormat="false" ht="15.75" hidden="false" customHeight="true" outlineLevel="0" collapsed="false"/>
    <row r="1363" customFormat="false" ht="15.75" hidden="false" customHeight="true" outlineLevel="0" collapsed="false"/>
    <row r="1364" customFormat="false" ht="15.75" hidden="false" customHeight="true" outlineLevel="0" collapsed="false"/>
    <row r="1365" customFormat="false" ht="15.75" hidden="false" customHeight="true" outlineLevel="0" collapsed="false"/>
    <row r="1366" customFormat="false" ht="15.75" hidden="false" customHeight="true" outlineLevel="0" collapsed="false"/>
    <row r="1367" customFormat="false" ht="15.75" hidden="false" customHeight="true" outlineLevel="0" collapsed="false"/>
    <row r="1368" customFormat="false" ht="15.75" hidden="false" customHeight="true" outlineLevel="0" collapsed="false"/>
    <row r="1369" customFormat="false" ht="15.75" hidden="false" customHeight="true" outlineLevel="0" collapsed="false"/>
    <row r="1370" customFormat="false" ht="15.75" hidden="false" customHeight="true" outlineLevel="0" collapsed="false"/>
    <row r="1371" customFormat="false" ht="15.75" hidden="false" customHeight="true" outlineLevel="0" collapsed="false"/>
    <row r="1372" customFormat="false" ht="15.75" hidden="false" customHeight="true" outlineLevel="0" collapsed="false"/>
    <row r="1373" customFormat="false" ht="15.75" hidden="false" customHeight="true" outlineLevel="0" collapsed="false"/>
    <row r="1374" customFormat="false" ht="15.75" hidden="false" customHeight="true" outlineLevel="0" collapsed="false"/>
    <row r="1375" customFormat="false" ht="15.75" hidden="false" customHeight="true" outlineLevel="0" collapsed="false"/>
    <row r="1376" customFormat="false" ht="15.75" hidden="false" customHeight="true" outlineLevel="0" collapsed="false"/>
    <row r="1377" customFormat="false" ht="15.75" hidden="false" customHeight="true" outlineLevel="0" collapsed="false"/>
    <row r="1378" customFormat="false" ht="15.75" hidden="false" customHeight="true" outlineLevel="0" collapsed="false"/>
    <row r="1379" customFormat="false" ht="15.75" hidden="false" customHeight="true" outlineLevel="0" collapsed="false"/>
    <row r="1380" customFormat="false" ht="15.75" hidden="false" customHeight="true" outlineLevel="0" collapsed="false"/>
    <row r="1381" customFormat="false" ht="15.75" hidden="false" customHeight="true" outlineLevel="0" collapsed="false"/>
    <row r="1382" customFormat="false" ht="15.75" hidden="false" customHeight="true" outlineLevel="0" collapsed="false"/>
    <row r="1383" customFormat="false" ht="15.75" hidden="false" customHeight="true" outlineLevel="0" collapsed="false"/>
    <row r="1384" customFormat="false" ht="15.75" hidden="false" customHeight="true" outlineLevel="0" collapsed="false"/>
    <row r="1385" customFormat="false" ht="15.75" hidden="false" customHeight="true" outlineLevel="0" collapsed="false"/>
    <row r="1386" customFormat="false" ht="15.75" hidden="false" customHeight="true" outlineLevel="0" collapsed="false"/>
    <row r="1387" customFormat="false" ht="15.75" hidden="false" customHeight="true" outlineLevel="0" collapsed="false"/>
    <row r="1388" customFormat="false" ht="15.75" hidden="false" customHeight="true" outlineLevel="0" collapsed="false"/>
    <row r="1389" customFormat="false" ht="15.75" hidden="false" customHeight="true" outlineLevel="0" collapsed="false"/>
    <row r="1390" customFormat="false" ht="15.75" hidden="false" customHeight="true" outlineLevel="0" collapsed="false"/>
    <row r="1391" customFormat="false" ht="15.75" hidden="false" customHeight="true" outlineLevel="0" collapsed="false"/>
    <row r="1392" customFormat="false" ht="15.75" hidden="false" customHeight="true" outlineLevel="0" collapsed="false"/>
    <row r="1393" customFormat="false" ht="15.75" hidden="false" customHeight="true" outlineLevel="0" collapsed="false"/>
    <row r="1394" customFormat="false" ht="15.75" hidden="false" customHeight="true" outlineLevel="0" collapsed="false"/>
    <row r="1395" customFormat="false" ht="15.75" hidden="false" customHeight="true" outlineLevel="0" collapsed="false"/>
    <row r="1396" customFormat="false" ht="15.75" hidden="false" customHeight="true" outlineLevel="0" collapsed="false"/>
    <row r="1397" customFormat="false" ht="15.75" hidden="false" customHeight="true" outlineLevel="0" collapsed="false"/>
    <row r="1398" customFormat="false" ht="15.75" hidden="false" customHeight="true" outlineLevel="0" collapsed="false"/>
    <row r="1399" customFormat="false" ht="15.75" hidden="false" customHeight="true" outlineLevel="0" collapsed="false"/>
    <row r="1400" customFormat="false" ht="15.75" hidden="false" customHeight="true" outlineLevel="0" collapsed="false"/>
    <row r="1401" customFormat="false" ht="15.75" hidden="false" customHeight="true" outlineLevel="0" collapsed="false"/>
    <row r="1402" customFormat="false" ht="15.75" hidden="false" customHeight="true" outlineLevel="0" collapsed="false"/>
    <row r="1403" customFormat="false" ht="15.75" hidden="false" customHeight="true" outlineLevel="0" collapsed="false"/>
    <row r="1404" customFormat="false" ht="15.75" hidden="false" customHeight="true" outlineLevel="0" collapsed="false"/>
    <row r="1405" customFormat="false" ht="15.75" hidden="false" customHeight="true" outlineLevel="0" collapsed="false"/>
    <row r="1406" customFormat="false" ht="15.75" hidden="false" customHeight="true" outlineLevel="0" collapsed="false"/>
    <row r="1407" customFormat="false" ht="15.75" hidden="false" customHeight="true" outlineLevel="0" collapsed="false"/>
    <row r="1408" customFormat="false" ht="15.75" hidden="false" customHeight="true" outlineLevel="0" collapsed="false"/>
    <row r="1409" customFormat="false" ht="15.75" hidden="false" customHeight="true" outlineLevel="0" collapsed="false"/>
    <row r="1410" customFormat="false" ht="15.75" hidden="false" customHeight="true" outlineLevel="0" collapsed="false"/>
    <row r="1411" customFormat="false" ht="15.75" hidden="false" customHeight="true" outlineLevel="0" collapsed="false"/>
    <row r="1412" customFormat="false" ht="15.75" hidden="false" customHeight="true" outlineLevel="0" collapsed="false"/>
    <row r="1413" customFormat="false" ht="15.75" hidden="false" customHeight="true" outlineLevel="0" collapsed="false"/>
    <row r="1414" customFormat="false" ht="15.75" hidden="false" customHeight="true" outlineLevel="0" collapsed="false"/>
    <row r="1415" customFormat="false" ht="15.75" hidden="false" customHeight="true" outlineLevel="0" collapsed="false"/>
    <row r="1416" customFormat="false" ht="15.75" hidden="false" customHeight="true" outlineLevel="0" collapsed="false"/>
    <row r="1417" customFormat="false" ht="15.75" hidden="false" customHeight="true" outlineLevel="0" collapsed="false"/>
    <row r="1418" customFormat="false" ht="15.75" hidden="false" customHeight="true" outlineLevel="0" collapsed="false"/>
    <row r="1419" customFormat="false" ht="15.75" hidden="false" customHeight="true" outlineLevel="0" collapsed="false"/>
    <row r="1420" customFormat="false" ht="15.75" hidden="false" customHeight="true" outlineLevel="0" collapsed="false"/>
    <row r="1421" customFormat="false" ht="15.75" hidden="false" customHeight="true" outlineLevel="0" collapsed="false"/>
    <row r="1422" customFormat="false" ht="15.75" hidden="false" customHeight="true" outlineLevel="0" collapsed="false"/>
    <row r="1423" customFormat="false" ht="15.75" hidden="false" customHeight="true" outlineLevel="0" collapsed="false"/>
    <row r="1424" customFormat="false" ht="15.75" hidden="false" customHeight="true" outlineLevel="0" collapsed="false"/>
    <row r="1425" customFormat="false" ht="15.75" hidden="false" customHeight="true" outlineLevel="0" collapsed="false"/>
    <row r="1426" customFormat="false" ht="15.75" hidden="false" customHeight="true" outlineLevel="0" collapsed="false"/>
    <row r="1427" customFormat="false" ht="15.75" hidden="false" customHeight="true" outlineLevel="0" collapsed="false"/>
    <row r="1428" customFormat="false" ht="15.75" hidden="false" customHeight="true" outlineLevel="0" collapsed="false"/>
    <row r="1429" customFormat="false" ht="15.75" hidden="false" customHeight="true" outlineLevel="0" collapsed="false"/>
    <row r="1430" customFormat="false" ht="15.75" hidden="false" customHeight="true" outlineLevel="0" collapsed="false"/>
    <row r="1431" customFormat="false" ht="15.75" hidden="false" customHeight="true" outlineLevel="0" collapsed="false"/>
    <row r="1432" customFormat="false" ht="15.75" hidden="false" customHeight="true" outlineLevel="0" collapsed="false"/>
    <row r="1433" customFormat="false" ht="15.75" hidden="false" customHeight="true" outlineLevel="0" collapsed="false"/>
    <row r="1434" customFormat="false" ht="15.75" hidden="false" customHeight="true" outlineLevel="0" collapsed="false"/>
    <row r="1435" customFormat="false" ht="15.75" hidden="false" customHeight="true" outlineLevel="0" collapsed="false"/>
    <row r="1436" customFormat="false" ht="15.75" hidden="false" customHeight="true" outlineLevel="0" collapsed="false"/>
    <row r="1437" customFormat="false" ht="15.75" hidden="false" customHeight="true" outlineLevel="0" collapsed="false"/>
    <row r="1438" customFormat="false" ht="15.75" hidden="false" customHeight="true" outlineLevel="0" collapsed="false"/>
    <row r="1439" customFormat="false" ht="15.75" hidden="false" customHeight="true" outlineLevel="0" collapsed="false"/>
    <row r="1440" customFormat="false" ht="15.75" hidden="false" customHeight="true" outlineLevel="0" collapsed="false"/>
    <row r="1441" customFormat="false" ht="15.75" hidden="false" customHeight="true" outlineLevel="0" collapsed="false"/>
    <row r="1442" customFormat="false" ht="15.75" hidden="false" customHeight="true" outlineLevel="0" collapsed="false"/>
    <row r="1443" customFormat="false" ht="15.75" hidden="false" customHeight="true" outlineLevel="0" collapsed="false"/>
    <row r="1444" customFormat="false" ht="15.75" hidden="false" customHeight="true" outlineLevel="0" collapsed="false"/>
    <row r="1445" customFormat="false" ht="15.75" hidden="false" customHeight="true" outlineLevel="0" collapsed="false"/>
    <row r="1446" customFormat="false" ht="15.75" hidden="false" customHeight="true" outlineLevel="0" collapsed="false"/>
    <row r="1447" customFormat="false" ht="15.75" hidden="false" customHeight="true" outlineLevel="0" collapsed="false"/>
    <row r="1448" customFormat="false" ht="15.75" hidden="false" customHeight="true" outlineLevel="0" collapsed="false"/>
    <row r="1449" customFormat="false" ht="15.75" hidden="false" customHeight="true" outlineLevel="0" collapsed="false"/>
    <row r="1450" customFormat="false" ht="15.75" hidden="false" customHeight="true" outlineLevel="0" collapsed="false"/>
    <row r="1451" customFormat="false" ht="15.75" hidden="false" customHeight="true" outlineLevel="0" collapsed="false"/>
    <row r="1452" customFormat="false" ht="15.75" hidden="false" customHeight="true" outlineLevel="0" collapsed="false"/>
    <row r="1453" customFormat="false" ht="15.75" hidden="false" customHeight="true" outlineLevel="0" collapsed="false"/>
    <row r="1454" customFormat="false" ht="15.75" hidden="false" customHeight="true" outlineLevel="0" collapsed="false"/>
    <row r="1455" customFormat="false" ht="15.75" hidden="false" customHeight="true" outlineLevel="0" collapsed="false"/>
    <row r="1456" customFormat="false" ht="15.75" hidden="false" customHeight="true" outlineLevel="0" collapsed="false"/>
    <row r="1457" customFormat="false" ht="15.75" hidden="false" customHeight="true" outlineLevel="0" collapsed="false"/>
    <row r="1458" customFormat="false" ht="15.75" hidden="false" customHeight="true" outlineLevel="0" collapsed="false"/>
    <row r="1459" customFormat="false" ht="15.75" hidden="false" customHeight="true" outlineLevel="0" collapsed="false"/>
    <row r="1460" customFormat="false" ht="15.75" hidden="false" customHeight="true" outlineLevel="0" collapsed="false"/>
    <row r="1461" customFormat="false" ht="15.75" hidden="false" customHeight="true" outlineLevel="0" collapsed="false"/>
    <row r="1462" customFormat="false" ht="15.75" hidden="false" customHeight="true" outlineLevel="0" collapsed="false"/>
    <row r="1463" customFormat="false" ht="15.75" hidden="false" customHeight="true" outlineLevel="0" collapsed="false"/>
    <row r="1464" customFormat="false" ht="15.75" hidden="false" customHeight="true" outlineLevel="0" collapsed="false"/>
    <row r="1465" customFormat="false" ht="15.75" hidden="false" customHeight="true" outlineLevel="0" collapsed="false"/>
    <row r="1466" customFormat="false" ht="15.75" hidden="false" customHeight="true" outlineLevel="0" collapsed="false"/>
    <row r="1467" customFormat="false" ht="15.75" hidden="false" customHeight="true" outlineLevel="0" collapsed="false"/>
    <row r="1468" customFormat="false" ht="15.75" hidden="false" customHeight="true" outlineLevel="0" collapsed="false"/>
    <row r="1469" customFormat="false" ht="15.75" hidden="false" customHeight="true" outlineLevel="0" collapsed="false"/>
    <row r="1470" customFormat="false" ht="15.75" hidden="false" customHeight="true" outlineLevel="0" collapsed="false"/>
    <row r="1471" customFormat="false" ht="15.75" hidden="false" customHeight="true" outlineLevel="0" collapsed="false"/>
    <row r="1472" customFormat="false" ht="15.75" hidden="false" customHeight="true" outlineLevel="0" collapsed="false"/>
    <row r="1473" customFormat="false" ht="15.75" hidden="false" customHeight="true" outlineLevel="0" collapsed="false"/>
    <row r="1474" customFormat="false" ht="15.75" hidden="false" customHeight="true" outlineLevel="0" collapsed="false"/>
    <row r="1475" customFormat="false" ht="15.75" hidden="false" customHeight="true" outlineLevel="0" collapsed="false"/>
    <row r="1476" customFormat="false" ht="15.75" hidden="false" customHeight="true" outlineLevel="0" collapsed="false"/>
    <row r="1477" customFormat="false" ht="15.75" hidden="false" customHeight="true" outlineLevel="0" collapsed="false"/>
    <row r="1478" customFormat="false" ht="15.75" hidden="false" customHeight="true" outlineLevel="0" collapsed="false"/>
    <row r="1479" customFormat="false" ht="15.75" hidden="false" customHeight="true" outlineLevel="0" collapsed="false"/>
    <row r="1480" customFormat="false" ht="15.75" hidden="false" customHeight="true" outlineLevel="0" collapsed="false"/>
    <row r="1481" customFormat="false" ht="15.75" hidden="false" customHeight="true" outlineLevel="0" collapsed="false"/>
    <row r="1482" customFormat="false" ht="15.75" hidden="false" customHeight="true" outlineLevel="0" collapsed="false"/>
    <row r="1483" customFormat="false" ht="15.75" hidden="false" customHeight="true" outlineLevel="0" collapsed="false"/>
    <row r="1484" customFormat="false" ht="15.75" hidden="false" customHeight="true" outlineLevel="0" collapsed="false"/>
    <row r="1485" customFormat="false" ht="15.75" hidden="false" customHeight="true" outlineLevel="0" collapsed="false"/>
    <row r="1486" customFormat="false" ht="15.75" hidden="false" customHeight="true" outlineLevel="0" collapsed="false"/>
    <row r="1487" customFormat="false" ht="15.75" hidden="false" customHeight="true" outlineLevel="0" collapsed="false"/>
    <row r="1488" customFormat="false" ht="15.75" hidden="false" customHeight="true" outlineLevel="0" collapsed="false"/>
    <row r="1489" customFormat="false" ht="15.75" hidden="false" customHeight="true" outlineLevel="0" collapsed="false"/>
    <row r="1490" customFormat="false" ht="15.75" hidden="false" customHeight="true" outlineLevel="0" collapsed="false"/>
    <row r="1491" customFormat="false" ht="15.75" hidden="false" customHeight="true" outlineLevel="0" collapsed="false"/>
    <row r="1492" customFormat="false" ht="15.75" hidden="false" customHeight="true" outlineLevel="0" collapsed="false"/>
    <row r="1493" customFormat="false" ht="15.75" hidden="false" customHeight="true" outlineLevel="0" collapsed="false"/>
    <row r="1494" customFormat="false" ht="15.75" hidden="false" customHeight="true" outlineLevel="0" collapsed="false"/>
    <row r="1495" customFormat="false" ht="15.75" hidden="false" customHeight="true" outlineLevel="0" collapsed="false"/>
    <row r="1496" customFormat="false" ht="15.75" hidden="false" customHeight="true" outlineLevel="0" collapsed="false"/>
    <row r="1497" customFormat="false" ht="15.75" hidden="false" customHeight="true" outlineLevel="0" collapsed="false"/>
    <row r="1498" customFormat="false" ht="15.75" hidden="false" customHeight="true" outlineLevel="0" collapsed="false"/>
    <row r="1499" customFormat="false" ht="15.75" hidden="false" customHeight="true" outlineLevel="0" collapsed="false"/>
    <row r="1500" customFormat="false" ht="15.75" hidden="false" customHeight="true" outlineLevel="0" collapsed="false"/>
    <row r="1501" customFormat="false" ht="15.75" hidden="false" customHeight="true" outlineLevel="0" collapsed="false"/>
    <row r="1502" customFormat="false" ht="15.75" hidden="false" customHeight="true" outlineLevel="0" collapsed="false"/>
    <row r="1503" customFormat="false" ht="15.75" hidden="false" customHeight="true" outlineLevel="0" collapsed="false"/>
    <row r="1504" customFormat="false" ht="15.75" hidden="false" customHeight="true" outlineLevel="0" collapsed="false"/>
    <row r="1505" customFormat="false" ht="15.75" hidden="false" customHeight="true" outlineLevel="0" collapsed="false"/>
    <row r="1506" customFormat="false" ht="15.75" hidden="false" customHeight="true" outlineLevel="0" collapsed="false"/>
    <row r="1507" customFormat="false" ht="15.75" hidden="false" customHeight="true" outlineLevel="0" collapsed="false"/>
    <row r="1508" customFormat="false" ht="15.75" hidden="false" customHeight="true" outlineLevel="0" collapsed="false"/>
    <row r="1509" customFormat="false" ht="15.75" hidden="false" customHeight="true" outlineLevel="0" collapsed="false"/>
    <row r="1510" customFormat="false" ht="15.75" hidden="false" customHeight="true" outlineLevel="0" collapsed="false"/>
    <row r="1511" customFormat="false" ht="15.75" hidden="false" customHeight="true" outlineLevel="0" collapsed="false"/>
    <row r="1512" customFormat="false" ht="15.75" hidden="false" customHeight="true" outlineLevel="0" collapsed="false"/>
    <row r="1513" customFormat="false" ht="15.75" hidden="false" customHeight="true" outlineLevel="0" collapsed="false"/>
    <row r="1514" customFormat="false" ht="15.75" hidden="false" customHeight="true" outlineLevel="0" collapsed="false"/>
    <row r="1515" customFormat="false" ht="15.75" hidden="false" customHeight="true" outlineLevel="0" collapsed="false"/>
    <row r="1516" customFormat="false" ht="15.75" hidden="false" customHeight="true" outlineLevel="0" collapsed="false"/>
    <row r="1517" customFormat="false" ht="15.75" hidden="false" customHeight="true" outlineLevel="0" collapsed="false"/>
    <row r="1518" customFormat="false" ht="15.75" hidden="false" customHeight="true" outlineLevel="0" collapsed="false"/>
    <row r="1519" customFormat="false" ht="15.75" hidden="false" customHeight="true" outlineLevel="0" collapsed="false"/>
    <row r="1520" customFormat="false" ht="15.75" hidden="false" customHeight="true" outlineLevel="0" collapsed="false"/>
    <row r="1521" customFormat="false" ht="15.75" hidden="false" customHeight="true" outlineLevel="0" collapsed="false"/>
    <row r="1522" customFormat="false" ht="15.75" hidden="false" customHeight="true" outlineLevel="0" collapsed="false"/>
    <row r="1523" customFormat="false" ht="15.75" hidden="false" customHeight="true" outlineLevel="0" collapsed="false"/>
    <row r="1524" customFormat="false" ht="15.75" hidden="false" customHeight="true" outlineLevel="0" collapsed="false"/>
    <row r="1525" customFormat="false" ht="15.75" hidden="false" customHeight="true" outlineLevel="0" collapsed="false"/>
    <row r="1526" customFormat="false" ht="15.75" hidden="false" customHeight="true" outlineLevel="0" collapsed="false"/>
    <row r="1527" customFormat="false" ht="15.75" hidden="false" customHeight="true" outlineLevel="0" collapsed="false"/>
    <row r="1528" customFormat="false" ht="15.75" hidden="false" customHeight="true" outlineLevel="0" collapsed="false"/>
    <row r="1529" customFormat="false" ht="15.75" hidden="false" customHeight="true" outlineLevel="0" collapsed="false"/>
    <row r="1530" customFormat="false" ht="15.75" hidden="false" customHeight="true" outlineLevel="0" collapsed="false"/>
    <row r="1531" customFormat="false" ht="15.75" hidden="false" customHeight="true" outlineLevel="0" collapsed="false"/>
    <row r="1532" customFormat="false" ht="15.75" hidden="false" customHeight="true" outlineLevel="0" collapsed="false"/>
    <row r="1533" customFormat="false" ht="15.75" hidden="false" customHeight="true" outlineLevel="0" collapsed="false"/>
    <row r="1534" customFormat="false" ht="15.75" hidden="false" customHeight="true" outlineLevel="0" collapsed="false"/>
    <row r="1535" customFormat="false" ht="15.75" hidden="false" customHeight="true" outlineLevel="0" collapsed="false"/>
    <row r="1536" customFormat="false" ht="15.75" hidden="false" customHeight="true" outlineLevel="0" collapsed="false"/>
    <row r="1537" customFormat="false" ht="15.75" hidden="false" customHeight="true" outlineLevel="0" collapsed="false"/>
    <row r="1538" customFormat="false" ht="15.75" hidden="false" customHeight="true" outlineLevel="0" collapsed="false"/>
    <row r="1539" customFormat="false" ht="15.75" hidden="false" customHeight="true" outlineLevel="0" collapsed="false"/>
    <row r="1540" customFormat="false" ht="15.75" hidden="false" customHeight="true" outlineLevel="0" collapsed="false"/>
    <row r="1541" customFormat="false" ht="15.75" hidden="false" customHeight="true" outlineLevel="0" collapsed="false"/>
    <row r="1542" customFormat="false" ht="15.75" hidden="false" customHeight="true" outlineLevel="0" collapsed="false"/>
    <row r="1543" customFormat="false" ht="15.75" hidden="false" customHeight="true" outlineLevel="0" collapsed="false"/>
    <row r="1544" customFormat="false" ht="15.75" hidden="false" customHeight="true" outlineLevel="0" collapsed="false"/>
    <row r="1545" customFormat="false" ht="15.75" hidden="false" customHeight="true" outlineLevel="0" collapsed="false"/>
    <row r="1546" customFormat="false" ht="15.75" hidden="false" customHeight="true" outlineLevel="0" collapsed="false"/>
    <row r="1547" customFormat="false" ht="15.75" hidden="false" customHeight="true" outlineLevel="0" collapsed="false"/>
    <row r="1548" customFormat="false" ht="15.75" hidden="false" customHeight="true" outlineLevel="0" collapsed="false"/>
    <row r="1549" customFormat="false" ht="15.75" hidden="false" customHeight="true" outlineLevel="0" collapsed="false"/>
    <row r="1550" customFormat="false" ht="15.75" hidden="false" customHeight="true" outlineLevel="0" collapsed="false"/>
    <row r="1551" customFormat="false" ht="15.75" hidden="false" customHeight="true" outlineLevel="0" collapsed="false"/>
    <row r="1552" customFormat="false" ht="15.75" hidden="false" customHeight="true" outlineLevel="0" collapsed="false"/>
    <row r="1553" customFormat="false" ht="15.75" hidden="false" customHeight="true" outlineLevel="0" collapsed="false"/>
    <row r="1554" customFormat="false" ht="15.75" hidden="false" customHeight="true" outlineLevel="0" collapsed="false"/>
    <row r="1555" customFormat="false" ht="15.75" hidden="false" customHeight="true" outlineLevel="0" collapsed="false"/>
    <row r="1556" customFormat="false" ht="15.75" hidden="false" customHeight="true" outlineLevel="0" collapsed="false"/>
    <row r="1557" customFormat="false" ht="15.75" hidden="false" customHeight="true" outlineLevel="0" collapsed="false"/>
    <row r="1558" customFormat="false" ht="15.75" hidden="false" customHeight="true" outlineLevel="0" collapsed="false"/>
    <row r="1559" customFormat="false" ht="15.75" hidden="false" customHeight="true" outlineLevel="0" collapsed="false"/>
    <row r="1560" customFormat="false" ht="15.75" hidden="false" customHeight="true" outlineLevel="0" collapsed="false"/>
    <row r="1561" customFormat="false" ht="15.75" hidden="false" customHeight="true" outlineLevel="0" collapsed="false"/>
    <row r="1562" customFormat="false" ht="15.75" hidden="false" customHeight="true" outlineLevel="0" collapsed="false"/>
    <row r="1563" customFormat="false" ht="15.75" hidden="false" customHeight="true" outlineLevel="0" collapsed="false"/>
    <row r="1564" customFormat="false" ht="15.75" hidden="false" customHeight="true" outlineLevel="0" collapsed="false"/>
    <row r="1565" customFormat="false" ht="15.75" hidden="false" customHeight="true" outlineLevel="0" collapsed="false"/>
    <row r="1566" customFormat="false" ht="15.75" hidden="false" customHeight="true" outlineLevel="0" collapsed="false"/>
    <row r="1567" customFormat="false" ht="15.75" hidden="false" customHeight="true" outlineLevel="0" collapsed="false"/>
    <row r="1568" customFormat="false" ht="15.75" hidden="false" customHeight="true" outlineLevel="0" collapsed="false"/>
    <row r="1569" customFormat="false" ht="15.75" hidden="false" customHeight="true" outlineLevel="0" collapsed="false"/>
    <row r="1570" customFormat="false" ht="15.75" hidden="false" customHeight="true" outlineLevel="0" collapsed="false"/>
    <row r="1571" customFormat="false" ht="15.75" hidden="false" customHeight="true" outlineLevel="0" collapsed="false"/>
    <row r="1572" customFormat="false" ht="15.75" hidden="false" customHeight="true" outlineLevel="0" collapsed="false"/>
    <row r="1573" customFormat="false" ht="15.75" hidden="false" customHeight="true" outlineLevel="0" collapsed="false"/>
    <row r="1574" customFormat="false" ht="15.75" hidden="false" customHeight="true" outlineLevel="0" collapsed="false"/>
    <row r="1575" customFormat="false" ht="15.75" hidden="false" customHeight="true" outlineLevel="0" collapsed="false"/>
    <row r="1576" customFormat="false" ht="15.75" hidden="false" customHeight="true" outlineLevel="0" collapsed="false"/>
    <row r="1577" customFormat="false" ht="15.75" hidden="false" customHeight="true" outlineLevel="0" collapsed="false"/>
    <row r="1578" customFormat="false" ht="15.75" hidden="false" customHeight="true" outlineLevel="0" collapsed="false"/>
    <row r="1579" customFormat="false" ht="15.75" hidden="false" customHeight="true" outlineLevel="0" collapsed="false"/>
    <row r="1580" customFormat="false" ht="15.75" hidden="false" customHeight="true" outlineLevel="0" collapsed="false"/>
    <row r="1581" customFormat="false" ht="15.75" hidden="false" customHeight="true" outlineLevel="0" collapsed="false"/>
    <row r="1582" customFormat="false" ht="15.75" hidden="false" customHeight="true" outlineLevel="0" collapsed="false"/>
    <row r="1583" customFormat="false" ht="15.75" hidden="false" customHeight="true" outlineLevel="0" collapsed="false"/>
    <row r="1584" customFormat="false" ht="15.75" hidden="false" customHeight="true" outlineLevel="0" collapsed="false"/>
    <row r="1585" customFormat="false" ht="15.75" hidden="false" customHeight="true" outlineLevel="0" collapsed="false"/>
    <row r="1586" customFormat="false" ht="15.75" hidden="false" customHeight="true" outlineLevel="0" collapsed="false"/>
    <row r="1587" customFormat="false" ht="15.75" hidden="false" customHeight="true" outlineLevel="0" collapsed="false"/>
    <row r="1588" customFormat="false" ht="15.75" hidden="false" customHeight="true" outlineLevel="0" collapsed="false"/>
    <row r="1589" customFormat="false" ht="15.75" hidden="false" customHeight="true" outlineLevel="0" collapsed="false"/>
    <row r="1590" customFormat="false" ht="15.75" hidden="false" customHeight="true" outlineLevel="0" collapsed="false"/>
    <row r="1591" customFormat="false" ht="15.75" hidden="false" customHeight="true" outlineLevel="0" collapsed="false"/>
    <row r="1592" customFormat="false" ht="15.75" hidden="false" customHeight="true" outlineLevel="0" collapsed="false"/>
    <row r="1593" customFormat="false" ht="15.75" hidden="false" customHeight="true" outlineLevel="0" collapsed="false"/>
    <row r="1594" customFormat="false" ht="15.75" hidden="false" customHeight="true" outlineLevel="0" collapsed="false"/>
    <row r="1595" customFormat="false" ht="15.75" hidden="false" customHeight="true" outlineLevel="0" collapsed="false"/>
    <row r="1596" customFormat="false" ht="15.75" hidden="false" customHeight="true" outlineLevel="0" collapsed="false"/>
    <row r="1597" customFormat="false" ht="15.75" hidden="false" customHeight="true" outlineLevel="0" collapsed="false"/>
    <row r="1598" customFormat="false" ht="15.75" hidden="false" customHeight="true" outlineLevel="0" collapsed="false"/>
    <row r="1599" customFormat="false" ht="15.75" hidden="false" customHeight="true" outlineLevel="0" collapsed="false"/>
    <row r="1600" customFormat="false" ht="15.75" hidden="false" customHeight="true" outlineLevel="0" collapsed="false"/>
    <row r="1601" customFormat="false" ht="15.75" hidden="false" customHeight="true" outlineLevel="0" collapsed="false"/>
    <row r="1602" customFormat="false" ht="15.75" hidden="false" customHeight="true" outlineLevel="0" collapsed="false"/>
    <row r="1603" customFormat="false" ht="15.75" hidden="false" customHeight="true" outlineLevel="0" collapsed="false"/>
    <row r="1604" customFormat="false" ht="15.75" hidden="false" customHeight="true" outlineLevel="0" collapsed="false"/>
    <row r="1605" customFormat="false" ht="15.75" hidden="false" customHeight="true" outlineLevel="0" collapsed="false"/>
    <row r="1606" customFormat="false" ht="15.75" hidden="false" customHeight="true" outlineLevel="0" collapsed="false"/>
    <row r="1607" customFormat="false" ht="15.75" hidden="false" customHeight="true" outlineLevel="0" collapsed="false"/>
    <row r="1608" customFormat="false" ht="15.75" hidden="false" customHeight="true" outlineLevel="0" collapsed="false"/>
    <row r="1609" customFormat="false" ht="15.75" hidden="false" customHeight="true" outlineLevel="0" collapsed="false"/>
    <row r="1610" customFormat="false" ht="15.75" hidden="false" customHeight="true" outlineLevel="0" collapsed="false"/>
    <row r="1611" customFormat="false" ht="15.75" hidden="false" customHeight="true" outlineLevel="0" collapsed="false"/>
    <row r="1612" customFormat="false" ht="15.75" hidden="false" customHeight="true" outlineLevel="0" collapsed="false"/>
    <row r="1613" customFormat="false" ht="15.75" hidden="false" customHeight="true" outlineLevel="0" collapsed="false"/>
    <row r="1614" customFormat="false" ht="15.75" hidden="false" customHeight="true" outlineLevel="0" collapsed="false"/>
    <row r="1615" customFormat="false" ht="15.75" hidden="false" customHeight="true" outlineLevel="0" collapsed="false"/>
    <row r="1616" customFormat="false" ht="15.75" hidden="false" customHeight="true" outlineLevel="0" collapsed="false"/>
    <row r="1617" customFormat="false" ht="15.75" hidden="false" customHeight="true" outlineLevel="0" collapsed="false"/>
    <row r="1618" customFormat="false" ht="15.75" hidden="false" customHeight="true" outlineLevel="0" collapsed="false"/>
    <row r="1619" customFormat="false" ht="15.75" hidden="false" customHeight="true" outlineLevel="0" collapsed="false"/>
    <row r="1620" customFormat="false" ht="15.75" hidden="false" customHeight="true" outlineLevel="0" collapsed="false"/>
    <row r="1621" customFormat="false" ht="15.75" hidden="false" customHeight="true" outlineLevel="0" collapsed="false"/>
    <row r="1622" customFormat="false" ht="15.75" hidden="false" customHeight="true" outlineLevel="0" collapsed="false"/>
    <row r="1623" customFormat="false" ht="15.75" hidden="false" customHeight="true" outlineLevel="0" collapsed="false"/>
    <row r="1624" customFormat="false" ht="15.75" hidden="false" customHeight="true" outlineLevel="0" collapsed="false"/>
    <row r="1625" customFormat="false" ht="15.75" hidden="false" customHeight="true" outlineLevel="0" collapsed="false"/>
    <row r="1626" customFormat="false" ht="15.75" hidden="false" customHeight="true" outlineLevel="0" collapsed="false"/>
    <row r="1627" customFormat="false" ht="15.75" hidden="false" customHeight="true" outlineLevel="0" collapsed="false"/>
    <row r="1628" customFormat="false" ht="15.75" hidden="false" customHeight="true" outlineLevel="0" collapsed="false"/>
    <row r="1629" customFormat="false" ht="15.75" hidden="false" customHeight="true" outlineLevel="0" collapsed="false"/>
    <row r="1630" customFormat="false" ht="15.75" hidden="false" customHeight="true" outlineLevel="0" collapsed="false"/>
    <row r="1631" customFormat="false" ht="15.75" hidden="false" customHeight="true" outlineLevel="0" collapsed="false"/>
    <row r="1632" customFormat="false" ht="15.75" hidden="false" customHeight="true" outlineLevel="0" collapsed="false"/>
    <row r="1633" customFormat="false" ht="15.75" hidden="false" customHeight="true" outlineLevel="0" collapsed="false"/>
    <row r="1634" customFormat="false" ht="15.75" hidden="false" customHeight="true" outlineLevel="0" collapsed="false"/>
    <row r="1635" customFormat="false" ht="15.75" hidden="false" customHeight="true" outlineLevel="0" collapsed="false"/>
    <row r="1636" customFormat="false" ht="15.75" hidden="false" customHeight="true" outlineLevel="0" collapsed="false"/>
    <row r="1637" customFormat="false" ht="15.75" hidden="false" customHeight="true" outlineLevel="0" collapsed="false"/>
    <row r="1638" customFormat="false" ht="15.75" hidden="false" customHeight="true" outlineLevel="0" collapsed="false"/>
    <row r="1639" customFormat="false" ht="15.75" hidden="false" customHeight="true" outlineLevel="0" collapsed="false"/>
    <row r="1640" customFormat="false" ht="15.75" hidden="false" customHeight="true" outlineLevel="0" collapsed="false"/>
    <row r="1641" customFormat="false" ht="15.75" hidden="false" customHeight="true" outlineLevel="0" collapsed="false"/>
    <row r="1642" customFormat="false" ht="15.75" hidden="false" customHeight="true" outlineLevel="0" collapsed="false"/>
    <row r="1643" customFormat="false" ht="15.75" hidden="false" customHeight="true" outlineLevel="0" collapsed="false"/>
    <row r="1644" customFormat="false" ht="15.75" hidden="false" customHeight="true" outlineLevel="0" collapsed="false"/>
    <row r="1645" customFormat="false" ht="15.75" hidden="false" customHeight="true" outlineLevel="0" collapsed="false"/>
    <row r="1646" customFormat="false" ht="15.75" hidden="false" customHeight="true" outlineLevel="0" collapsed="false"/>
    <row r="1647" customFormat="false" ht="15.75" hidden="false" customHeight="true" outlineLevel="0" collapsed="false"/>
    <row r="1648" customFormat="false" ht="15.75" hidden="false" customHeight="true" outlineLevel="0" collapsed="false"/>
    <row r="1649" customFormat="false" ht="15.75" hidden="false" customHeight="true" outlineLevel="0" collapsed="false"/>
    <row r="1650" customFormat="false" ht="15.75" hidden="false" customHeight="true" outlineLevel="0" collapsed="false"/>
    <row r="1651" customFormat="false" ht="15.75" hidden="false" customHeight="true" outlineLevel="0" collapsed="false"/>
    <row r="1652" customFormat="false" ht="15.75" hidden="false" customHeight="true" outlineLevel="0" collapsed="false"/>
    <row r="1653" customFormat="false" ht="15.75" hidden="false" customHeight="true" outlineLevel="0" collapsed="false"/>
    <row r="1654" customFormat="false" ht="15.75" hidden="false" customHeight="true" outlineLevel="0" collapsed="false"/>
    <row r="1655" customFormat="false" ht="15.75" hidden="false" customHeight="true" outlineLevel="0" collapsed="false"/>
    <row r="1656" customFormat="false" ht="15.75" hidden="false" customHeight="true" outlineLevel="0" collapsed="false"/>
    <row r="1657" customFormat="false" ht="15.75" hidden="false" customHeight="true" outlineLevel="0" collapsed="false"/>
    <row r="1658" customFormat="false" ht="15.75" hidden="false" customHeight="true" outlineLevel="0" collapsed="false"/>
    <row r="1659" customFormat="false" ht="15.75" hidden="false" customHeight="true" outlineLevel="0" collapsed="false"/>
    <row r="1660" customFormat="false" ht="15.75" hidden="false" customHeight="true" outlineLevel="0" collapsed="false"/>
    <row r="1661" customFormat="false" ht="15.75" hidden="false" customHeight="true" outlineLevel="0" collapsed="false"/>
    <row r="1662" customFormat="false" ht="15.75" hidden="false" customHeight="true" outlineLevel="0" collapsed="false"/>
    <row r="1663" customFormat="false" ht="15.75" hidden="false" customHeight="true" outlineLevel="0" collapsed="false"/>
    <row r="1664" customFormat="false" ht="15.75" hidden="false" customHeight="true" outlineLevel="0" collapsed="false"/>
    <row r="1665" customFormat="false" ht="15.75" hidden="false" customHeight="true" outlineLevel="0" collapsed="false"/>
    <row r="1666" customFormat="false" ht="15.75" hidden="false" customHeight="true" outlineLevel="0" collapsed="false"/>
    <row r="1667" customFormat="false" ht="15.75" hidden="false" customHeight="true" outlineLevel="0" collapsed="false"/>
    <row r="1668" customFormat="false" ht="15.75" hidden="false" customHeight="true" outlineLevel="0" collapsed="false"/>
    <row r="1669" customFormat="false" ht="15.75" hidden="false" customHeight="true" outlineLevel="0" collapsed="false"/>
    <row r="1670" customFormat="false" ht="15.75" hidden="false" customHeight="true" outlineLevel="0" collapsed="false"/>
    <row r="1671" customFormat="false" ht="15.75" hidden="false" customHeight="true" outlineLevel="0" collapsed="false"/>
    <row r="1672" customFormat="false" ht="15.75" hidden="false" customHeight="true" outlineLevel="0" collapsed="false"/>
    <row r="1673" customFormat="false" ht="15.75" hidden="false" customHeight="true" outlineLevel="0" collapsed="false"/>
    <row r="1674" customFormat="false" ht="15.75" hidden="false" customHeight="true" outlineLevel="0" collapsed="false"/>
    <row r="1675" customFormat="false" ht="15.75" hidden="false" customHeight="true" outlineLevel="0" collapsed="false"/>
    <row r="1676" customFormat="false" ht="15.75" hidden="false" customHeight="true" outlineLevel="0" collapsed="false"/>
    <row r="1677" customFormat="false" ht="15.75" hidden="false" customHeight="true" outlineLevel="0" collapsed="false"/>
    <row r="1678" customFormat="false" ht="15.75" hidden="false" customHeight="true" outlineLevel="0" collapsed="false"/>
    <row r="1679" customFormat="false" ht="15.75" hidden="false" customHeight="true" outlineLevel="0" collapsed="false"/>
    <row r="1680" customFormat="false" ht="15.75" hidden="false" customHeight="true" outlineLevel="0" collapsed="false"/>
    <row r="1681" customFormat="false" ht="15.75" hidden="false" customHeight="true" outlineLevel="0" collapsed="false"/>
    <row r="1682" customFormat="false" ht="15.75" hidden="false" customHeight="true" outlineLevel="0" collapsed="false"/>
    <row r="1683" customFormat="false" ht="15.75" hidden="false" customHeight="true" outlineLevel="0" collapsed="false"/>
    <row r="1684" customFormat="false" ht="15.75" hidden="false" customHeight="true" outlineLevel="0" collapsed="false"/>
    <row r="1685" customFormat="false" ht="15.75" hidden="false" customHeight="true" outlineLevel="0" collapsed="false"/>
    <row r="1686" customFormat="false" ht="15.75" hidden="false" customHeight="true" outlineLevel="0" collapsed="false"/>
    <row r="1687" customFormat="false" ht="15.75" hidden="false" customHeight="true" outlineLevel="0" collapsed="false"/>
    <row r="1688" customFormat="false" ht="15.75" hidden="false" customHeight="true" outlineLevel="0" collapsed="false"/>
    <row r="1689" customFormat="false" ht="15.75" hidden="false" customHeight="true" outlineLevel="0" collapsed="false"/>
    <row r="1690" customFormat="false" ht="15.75" hidden="false" customHeight="true" outlineLevel="0" collapsed="false"/>
    <row r="1691" customFormat="false" ht="15.75" hidden="false" customHeight="true" outlineLevel="0" collapsed="false"/>
    <row r="1692" customFormat="false" ht="15.75" hidden="false" customHeight="true" outlineLevel="0" collapsed="false"/>
    <row r="1693" customFormat="false" ht="15.75" hidden="false" customHeight="true" outlineLevel="0" collapsed="false"/>
    <row r="1694" customFormat="false" ht="15.75" hidden="false" customHeight="true" outlineLevel="0" collapsed="false"/>
    <row r="1695" customFormat="false" ht="15.75" hidden="false" customHeight="true" outlineLevel="0" collapsed="false"/>
    <row r="1696" customFormat="false" ht="15.75" hidden="false" customHeight="true" outlineLevel="0" collapsed="false"/>
    <row r="1697" customFormat="false" ht="15.75" hidden="false" customHeight="true" outlineLevel="0" collapsed="false"/>
    <row r="1698" customFormat="false" ht="15.75" hidden="false" customHeight="true" outlineLevel="0" collapsed="false"/>
    <row r="1699" customFormat="false" ht="15.75" hidden="false" customHeight="true" outlineLevel="0" collapsed="false"/>
    <row r="1700" customFormat="false" ht="15.75" hidden="false" customHeight="true" outlineLevel="0" collapsed="false"/>
    <row r="1701" customFormat="false" ht="15.75" hidden="false" customHeight="true" outlineLevel="0" collapsed="false"/>
    <row r="1702" customFormat="false" ht="15.75" hidden="false" customHeight="true" outlineLevel="0" collapsed="false"/>
    <row r="1703" customFormat="false" ht="15.75" hidden="false" customHeight="true" outlineLevel="0" collapsed="false"/>
    <row r="1704" customFormat="false" ht="15.75" hidden="false" customHeight="true" outlineLevel="0" collapsed="false"/>
    <row r="1705" customFormat="false" ht="15.75" hidden="false" customHeight="true" outlineLevel="0" collapsed="false"/>
    <row r="1706" customFormat="false" ht="15.75" hidden="false" customHeight="true" outlineLevel="0" collapsed="false"/>
    <row r="1707" customFormat="false" ht="15.75" hidden="false" customHeight="true" outlineLevel="0" collapsed="false"/>
    <row r="1708" customFormat="false" ht="15.75" hidden="false" customHeight="true" outlineLevel="0" collapsed="false"/>
    <row r="1709" customFormat="false" ht="15.75" hidden="false" customHeight="true" outlineLevel="0" collapsed="false"/>
    <row r="1710" customFormat="false" ht="15.75" hidden="false" customHeight="true" outlineLevel="0" collapsed="false"/>
    <row r="1711" customFormat="false" ht="15.75" hidden="false" customHeight="true" outlineLevel="0" collapsed="false"/>
    <row r="1712" customFormat="false" ht="15.75" hidden="false" customHeight="true" outlineLevel="0" collapsed="false"/>
    <row r="1713" customFormat="false" ht="15.75" hidden="false" customHeight="true" outlineLevel="0" collapsed="false"/>
    <row r="1714" customFormat="false" ht="15.75" hidden="false" customHeight="true" outlineLevel="0" collapsed="false"/>
    <row r="1715" customFormat="false" ht="15.75" hidden="false" customHeight="true" outlineLevel="0" collapsed="false"/>
    <row r="1716" customFormat="false" ht="15.75" hidden="false" customHeight="true" outlineLevel="0" collapsed="false"/>
    <row r="1717" customFormat="false" ht="15.75" hidden="false" customHeight="true" outlineLevel="0" collapsed="false"/>
    <row r="1718" customFormat="false" ht="15.75" hidden="false" customHeight="true" outlineLevel="0" collapsed="false"/>
    <row r="1719" customFormat="false" ht="15.75" hidden="false" customHeight="true" outlineLevel="0" collapsed="false"/>
    <row r="1720" customFormat="false" ht="15.75" hidden="false" customHeight="true" outlineLevel="0" collapsed="false"/>
    <row r="1721" customFormat="false" ht="15.75" hidden="false" customHeight="true" outlineLevel="0" collapsed="false"/>
    <row r="1722" customFormat="false" ht="15.75" hidden="false" customHeight="true" outlineLevel="0" collapsed="false"/>
    <row r="1723" customFormat="false" ht="15.75" hidden="false" customHeight="true" outlineLevel="0" collapsed="false"/>
    <row r="1724" customFormat="false" ht="15.75" hidden="false" customHeight="true" outlineLevel="0" collapsed="false"/>
    <row r="1725" customFormat="false" ht="15.75" hidden="false" customHeight="true" outlineLevel="0" collapsed="false"/>
    <row r="1726" customFormat="false" ht="15.75" hidden="false" customHeight="true" outlineLevel="0" collapsed="false"/>
    <row r="1727" customFormat="false" ht="15.75" hidden="false" customHeight="true" outlineLevel="0" collapsed="false"/>
    <row r="1728" customFormat="false" ht="15.75" hidden="false" customHeight="true" outlineLevel="0" collapsed="false"/>
    <row r="1729" customFormat="false" ht="15.75" hidden="false" customHeight="true" outlineLevel="0" collapsed="false"/>
    <row r="1730" customFormat="false" ht="15.75" hidden="false" customHeight="true" outlineLevel="0" collapsed="false"/>
    <row r="1731" customFormat="false" ht="15.75" hidden="false" customHeight="true" outlineLevel="0" collapsed="false"/>
    <row r="1732" customFormat="false" ht="15.75" hidden="false" customHeight="true" outlineLevel="0" collapsed="false"/>
    <row r="1733" customFormat="false" ht="15.75" hidden="false" customHeight="true" outlineLevel="0" collapsed="false"/>
    <row r="1734" customFormat="false" ht="15.75" hidden="false" customHeight="true" outlineLevel="0" collapsed="false"/>
    <row r="1735" customFormat="false" ht="15.75" hidden="false" customHeight="true" outlineLevel="0" collapsed="false"/>
    <row r="1736" customFormat="false" ht="15.75" hidden="false" customHeight="true" outlineLevel="0" collapsed="false"/>
    <row r="1737" customFormat="false" ht="15.75" hidden="false" customHeight="true" outlineLevel="0" collapsed="false"/>
    <row r="1738" customFormat="false" ht="15.75" hidden="false" customHeight="true" outlineLevel="0" collapsed="false"/>
    <row r="1739" customFormat="false" ht="15.75" hidden="false" customHeight="true" outlineLevel="0" collapsed="false"/>
    <row r="1740" customFormat="false" ht="15.75" hidden="false" customHeight="true" outlineLevel="0" collapsed="false"/>
    <row r="1741" customFormat="false" ht="15.75" hidden="false" customHeight="true" outlineLevel="0" collapsed="false"/>
    <row r="1742" customFormat="false" ht="15.75" hidden="false" customHeight="true" outlineLevel="0" collapsed="false"/>
    <row r="1743" customFormat="false" ht="15.75" hidden="false" customHeight="true" outlineLevel="0" collapsed="false"/>
    <row r="1744" customFormat="false" ht="15.75" hidden="false" customHeight="true" outlineLevel="0" collapsed="false"/>
    <row r="1745" customFormat="false" ht="15.75" hidden="false" customHeight="true" outlineLevel="0" collapsed="false"/>
    <row r="1746" customFormat="false" ht="15.75" hidden="false" customHeight="true" outlineLevel="0" collapsed="false"/>
    <row r="1747" customFormat="false" ht="15.75" hidden="false" customHeight="true" outlineLevel="0" collapsed="false"/>
    <row r="1748" customFormat="false" ht="15.75" hidden="false" customHeight="true" outlineLevel="0" collapsed="false"/>
    <row r="1749" customFormat="false" ht="15.75" hidden="false" customHeight="true" outlineLevel="0" collapsed="false"/>
    <row r="1750" customFormat="false" ht="15.75" hidden="false" customHeight="true" outlineLevel="0" collapsed="false"/>
    <row r="1751" customFormat="false" ht="15.75" hidden="false" customHeight="true" outlineLevel="0" collapsed="false"/>
    <row r="1752" customFormat="false" ht="15.75" hidden="false" customHeight="true" outlineLevel="0" collapsed="false"/>
    <row r="1753" customFormat="false" ht="15.75" hidden="false" customHeight="true" outlineLevel="0" collapsed="false"/>
    <row r="1754" customFormat="false" ht="15.75" hidden="false" customHeight="true" outlineLevel="0" collapsed="false"/>
    <row r="1755" customFormat="false" ht="15.75" hidden="false" customHeight="true" outlineLevel="0" collapsed="false"/>
    <row r="1756" customFormat="false" ht="15.75" hidden="false" customHeight="true" outlineLevel="0" collapsed="false"/>
    <row r="1757" customFormat="false" ht="15.75" hidden="false" customHeight="true" outlineLevel="0" collapsed="false"/>
    <row r="1758" customFormat="false" ht="15.75" hidden="false" customHeight="true" outlineLevel="0" collapsed="false"/>
    <row r="1759" customFormat="false" ht="15.75" hidden="false" customHeight="true" outlineLevel="0" collapsed="false"/>
    <row r="1760" customFormat="false" ht="15.75" hidden="false" customHeight="true" outlineLevel="0" collapsed="false"/>
    <row r="1761" customFormat="false" ht="15.75" hidden="false" customHeight="true" outlineLevel="0" collapsed="false"/>
    <row r="1762" customFormat="false" ht="15.75" hidden="false" customHeight="true" outlineLevel="0" collapsed="false"/>
    <row r="1763" customFormat="false" ht="15.75" hidden="false" customHeight="true" outlineLevel="0" collapsed="false"/>
    <row r="1764" customFormat="false" ht="15.75" hidden="false" customHeight="true" outlineLevel="0" collapsed="false"/>
    <row r="1765" customFormat="false" ht="15.75" hidden="false" customHeight="true" outlineLevel="0" collapsed="false"/>
    <row r="1766" customFormat="false" ht="15.75" hidden="false" customHeight="true" outlineLevel="0" collapsed="false"/>
    <row r="1767" customFormat="false" ht="15.75" hidden="false" customHeight="true" outlineLevel="0" collapsed="false"/>
    <row r="1768" customFormat="false" ht="15.75" hidden="false" customHeight="true" outlineLevel="0" collapsed="false"/>
    <row r="1769" customFormat="false" ht="15.75" hidden="false" customHeight="true" outlineLevel="0" collapsed="false"/>
    <row r="1770" customFormat="false" ht="15.75" hidden="false" customHeight="true" outlineLevel="0" collapsed="false"/>
    <row r="1771" customFormat="false" ht="15.75" hidden="false" customHeight="true" outlineLevel="0" collapsed="false"/>
    <row r="1772" customFormat="false" ht="15.75" hidden="false" customHeight="true" outlineLevel="0" collapsed="false"/>
    <row r="1773" customFormat="false" ht="15.75" hidden="false" customHeight="true" outlineLevel="0" collapsed="false"/>
    <row r="1774" customFormat="false" ht="15.75" hidden="false" customHeight="true" outlineLevel="0" collapsed="false"/>
    <row r="1775" customFormat="false" ht="15.75" hidden="false" customHeight="true" outlineLevel="0" collapsed="false"/>
    <row r="1776" customFormat="false" ht="15.75" hidden="false" customHeight="true" outlineLevel="0" collapsed="false"/>
    <row r="1777" customFormat="false" ht="15.75" hidden="false" customHeight="true" outlineLevel="0" collapsed="false"/>
    <row r="1778" customFormat="false" ht="15.75" hidden="false" customHeight="true" outlineLevel="0" collapsed="false"/>
    <row r="1779" customFormat="false" ht="15.75" hidden="false" customHeight="true" outlineLevel="0" collapsed="false"/>
    <row r="1780" customFormat="false" ht="15.75" hidden="false" customHeight="true" outlineLevel="0" collapsed="false"/>
    <row r="1781" customFormat="false" ht="15.75" hidden="false" customHeight="true" outlineLevel="0" collapsed="false"/>
    <row r="1782" customFormat="false" ht="15.75" hidden="false" customHeight="true" outlineLevel="0" collapsed="false"/>
    <row r="1783" customFormat="false" ht="15.75" hidden="false" customHeight="true" outlineLevel="0" collapsed="false"/>
    <row r="1784" customFormat="false" ht="15.75" hidden="false" customHeight="true" outlineLevel="0" collapsed="false"/>
    <row r="1785" customFormat="false" ht="15.75" hidden="false" customHeight="true" outlineLevel="0" collapsed="false"/>
    <row r="1786" customFormat="false" ht="15.75" hidden="false" customHeight="true" outlineLevel="0" collapsed="false"/>
    <row r="1787" customFormat="false" ht="15.75" hidden="false" customHeight="true" outlineLevel="0" collapsed="false"/>
    <row r="1788" customFormat="false" ht="15.75" hidden="false" customHeight="true" outlineLevel="0" collapsed="false"/>
    <row r="1789" customFormat="false" ht="15.75" hidden="false" customHeight="true" outlineLevel="0" collapsed="false"/>
    <row r="1790" customFormat="false" ht="15.75" hidden="false" customHeight="true" outlineLevel="0" collapsed="false"/>
    <row r="1791" customFormat="false" ht="15.75" hidden="false" customHeight="true" outlineLevel="0" collapsed="false"/>
    <row r="1792" customFormat="false" ht="15.75" hidden="false" customHeight="true" outlineLevel="0" collapsed="false"/>
    <row r="1793" customFormat="false" ht="15.75" hidden="false" customHeight="true" outlineLevel="0" collapsed="false"/>
    <row r="1794" customFormat="false" ht="15.75" hidden="false" customHeight="true" outlineLevel="0" collapsed="false"/>
    <row r="1795" customFormat="false" ht="15.75" hidden="false" customHeight="true" outlineLevel="0" collapsed="false"/>
    <row r="1796" customFormat="false" ht="15.75" hidden="false" customHeight="true" outlineLevel="0" collapsed="false"/>
    <row r="1797" customFormat="false" ht="15.75" hidden="false" customHeight="true" outlineLevel="0" collapsed="false"/>
    <row r="1798" customFormat="false" ht="15.75" hidden="false" customHeight="true" outlineLevel="0" collapsed="false"/>
    <row r="1799" customFormat="false" ht="15.75" hidden="false" customHeight="true" outlineLevel="0" collapsed="false"/>
    <row r="1800" customFormat="false" ht="15.75" hidden="false" customHeight="true" outlineLevel="0" collapsed="false"/>
    <row r="1801" customFormat="false" ht="15.75" hidden="false" customHeight="true" outlineLevel="0" collapsed="false"/>
    <row r="1802" customFormat="false" ht="15.75" hidden="false" customHeight="true" outlineLevel="0" collapsed="false"/>
    <row r="1803" customFormat="false" ht="15.75" hidden="false" customHeight="true" outlineLevel="0" collapsed="false"/>
    <row r="1804" customFormat="false" ht="15.75" hidden="false" customHeight="true" outlineLevel="0" collapsed="false"/>
    <row r="1805" customFormat="false" ht="15.75" hidden="false" customHeight="true" outlineLevel="0" collapsed="false"/>
    <row r="1806" customFormat="false" ht="15.75" hidden="false" customHeight="true" outlineLevel="0" collapsed="false"/>
    <row r="1807" customFormat="false" ht="15.75" hidden="false" customHeight="true" outlineLevel="0" collapsed="false"/>
    <row r="1808" customFormat="false" ht="15.75" hidden="false" customHeight="true" outlineLevel="0" collapsed="false"/>
    <row r="1809" customFormat="false" ht="15.75" hidden="false" customHeight="true" outlineLevel="0" collapsed="false"/>
    <row r="1810" customFormat="false" ht="15.75" hidden="false" customHeight="true" outlineLevel="0" collapsed="false"/>
    <row r="1811" customFormat="false" ht="15.75" hidden="false" customHeight="true" outlineLevel="0" collapsed="false"/>
    <row r="1812" customFormat="false" ht="15.75" hidden="false" customHeight="true" outlineLevel="0" collapsed="false"/>
    <row r="1813" customFormat="false" ht="15.75" hidden="false" customHeight="true" outlineLevel="0" collapsed="false"/>
    <row r="1814" customFormat="false" ht="15.75" hidden="false" customHeight="true" outlineLevel="0" collapsed="false"/>
    <row r="1815" customFormat="false" ht="15.75" hidden="false" customHeight="true" outlineLevel="0" collapsed="false"/>
    <row r="1816" customFormat="false" ht="15.75" hidden="false" customHeight="true" outlineLevel="0" collapsed="false"/>
    <row r="1817" customFormat="false" ht="15.75" hidden="false" customHeight="true" outlineLevel="0" collapsed="false"/>
    <row r="1818" customFormat="false" ht="15.75" hidden="false" customHeight="true" outlineLevel="0" collapsed="false"/>
    <row r="1819" customFormat="false" ht="15.75" hidden="false" customHeight="true" outlineLevel="0" collapsed="false"/>
    <row r="1820" customFormat="false" ht="15.75" hidden="false" customHeight="true" outlineLevel="0" collapsed="false"/>
    <row r="1821" customFormat="false" ht="15.75" hidden="false" customHeight="true" outlineLevel="0" collapsed="false"/>
    <row r="1822" customFormat="false" ht="15.75" hidden="false" customHeight="true" outlineLevel="0" collapsed="false"/>
    <row r="1823" customFormat="false" ht="15.75" hidden="false" customHeight="true" outlineLevel="0" collapsed="false"/>
    <row r="1824" customFormat="false" ht="15.75" hidden="false" customHeight="true" outlineLevel="0" collapsed="false"/>
    <row r="1825" customFormat="false" ht="15.75" hidden="false" customHeight="true" outlineLevel="0" collapsed="false"/>
    <row r="1826" customFormat="false" ht="15.75" hidden="false" customHeight="true" outlineLevel="0" collapsed="false"/>
    <row r="1827" customFormat="false" ht="15.75" hidden="false" customHeight="true" outlineLevel="0" collapsed="false"/>
    <row r="1828" customFormat="false" ht="15.75" hidden="false" customHeight="true" outlineLevel="0" collapsed="false"/>
    <row r="1829" customFormat="false" ht="15.75" hidden="false" customHeight="true" outlineLevel="0" collapsed="false"/>
    <row r="1830" customFormat="false" ht="15.75" hidden="false" customHeight="true" outlineLevel="0" collapsed="false"/>
    <row r="1831" customFormat="false" ht="15.75" hidden="false" customHeight="true" outlineLevel="0" collapsed="false"/>
    <row r="1832" customFormat="false" ht="15.75" hidden="false" customHeight="true" outlineLevel="0" collapsed="false"/>
    <row r="1833" customFormat="false" ht="15.75" hidden="false" customHeight="true" outlineLevel="0" collapsed="false"/>
    <row r="1834" customFormat="false" ht="15.75" hidden="false" customHeight="true" outlineLevel="0" collapsed="false"/>
    <row r="1835" customFormat="false" ht="15.75" hidden="false" customHeight="true" outlineLevel="0" collapsed="false"/>
    <row r="1836" customFormat="false" ht="15.75" hidden="false" customHeight="true" outlineLevel="0" collapsed="false"/>
    <row r="1837" customFormat="false" ht="15.75" hidden="false" customHeight="true" outlineLevel="0" collapsed="false"/>
    <row r="1838" customFormat="false" ht="15.75" hidden="false" customHeight="true" outlineLevel="0" collapsed="false"/>
    <row r="1839" customFormat="false" ht="15.75" hidden="false" customHeight="true" outlineLevel="0" collapsed="false"/>
    <row r="1840" customFormat="false" ht="15.75" hidden="false" customHeight="true" outlineLevel="0" collapsed="false"/>
    <row r="1841" customFormat="false" ht="15.75" hidden="false" customHeight="true" outlineLevel="0" collapsed="false"/>
    <row r="1842" customFormat="false" ht="15.75" hidden="false" customHeight="true" outlineLevel="0" collapsed="false"/>
    <row r="1843" customFormat="false" ht="15.75" hidden="false" customHeight="true" outlineLevel="0" collapsed="false"/>
    <row r="1844" customFormat="false" ht="15.75" hidden="false" customHeight="true" outlineLevel="0" collapsed="false"/>
    <row r="1845" customFormat="false" ht="15.75" hidden="false" customHeight="true" outlineLevel="0" collapsed="false"/>
    <row r="1846" customFormat="false" ht="15.75" hidden="false" customHeight="true" outlineLevel="0" collapsed="false"/>
    <row r="1847" customFormat="false" ht="15.75" hidden="false" customHeight="true" outlineLevel="0" collapsed="false"/>
    <row r="1848" customFormat="false" ht="15.75" hidden="false" customHeight="true" outlineLevel="0" collapsed="false"/>
    <row r="1849" customFormat="false" ht="15.75" hidden="false" customHeight="true" outlineLevel="0" collapsed="false"/>
    <row r="1850" customFormat="false" ht="15.75" hidden="false" customHeight="true" outlineLevel="0" collapsed="false"/>
    <row r="1851" customFormat="false" ht="15.75" hidden="false" customHeight="true" outlineLevel="0" collapsed="false"/>
    <row r="1852" customFormat="false" ht="15.75" hidden="false" customHeight="true" outlineLevel="0" collapsed="false"/>
    <row r="1853" customFormat="false" ht="15.75" hidden="false" customHeight="true" outlineLevel="0" collapsed="false"/>
    <row r="1854" customFormat="false" ht="15.75" hidden="false" customHeight="true" outlineLevel="0" collapsed="false"/>
    <row r="1855" customFormat="false" ht="15.75" hidden="false" customHeight="true" outlineLevel="0" collapsed="false"/>
    <row r="1856" customFormat="false" ht="15.75" hidden="false" customHeight="true" outlineLevel="0" collapsed="false"/>
    <row r="1857" customFormat="false" ht="15.75" hidden="false" customHeight="true" outlineLevel="0" collapsed="false"/>
    <row r="1858" customFormat="false" ht="15.75" hidden="false" customHeight="true" outlineLevel="0" collapsed="false"/>
    <row r="1859" customFormat="false" ht="15.75" hidden="false" customHeight="true" outlineLevel="0" collapsed="false"/>
    <row r="1860" customFormat="false" ht="15.75" hidden="false" customHeight="true" outlineLevel="0" collapsed="false"/>
    <row r="1861" customFormat="false" ht="15.75" hidden="false" customHeight="true" outlineLevel="0" collapsed="false"/>
    <row r="1862" customFormat="false" ht="15.75" hidden="false" customHeight="true" outlineLevel="0" collapsed="false"/>
    <row r="1863" customFormat="false" ht="15.75" hidden="false" customHeight="true" outlineLevel="0" collapsed="false"/>
    <row r="1864" customFormat="false" ht="15.75" hidden="false" customHeight="true" outlineLevel="0" collapsed="false"/>
    <row r="1865" customFormat="false" ht="15.75" hidden="false" customHeight="true" outlineLevel="0" collapsed="false"/>
    <row r="1866" customFormat="false" ht="15.75" hidden="false" customHeight="true" outlineLevel="0" collapsed="false"/>
    <row r="1867" customFormat="false" ht="15.75" hidden="false" customHeight="true" outlineLevel="0" collapsed="false"/>
    <row r="1868" customFormat="false" ht="15.75" hidden="false" customHeight="true" outlineLevel="0" collapsed="false"/>
    <row r="1869" customFormat="false" ht="15.75" hidden="false" customHeight="true" outlineLevel="0" collapsed="false"/>
    <row r="1870" customFormat="false" ht="15.75" hidden="false" customHeight="true" outlineLevel="0" collapsed="false"/>
    <row r="1871" customFormat="false" ht="15.75" hidden="false" customHeight="true" outlineLevel="0" collapsed="false"/>
    <row r="1872" customFormat="false" ht="15.75" hidden="false" customHeight="true" outlineLevel="0" collapsed="false"/>
    <row r="1873" customFormat="false" ht="15.75" hidden="false" customHeight="true" outlineLevel="0" collapsed="false"/>
    <row r="1874" customFormat="false" ht="15.75" hidden="false" customHeight="true" outlineLevel="0" collapsed="false"/>
    <row r="1875" customFormat="false" ht="15.75" hidden="false" customHeight="true" outlineLevel="0" collapsed="false"/>
    <row r="1876" customFormat="false" ht="15.75" hidden="false" customHeight="true" outlineLevel="0" collapsed="false"/>
    <row r="1877" customFormat="false" ht="15.75" hidden="false" customHeight="true" outlineLevel="0" collapsed="false"/>
    <row r="1878" customFormat="false" ht="15.75" hidden="false" customHeight="true" outlineLevel="0" collapsed="false"/>
    <row r="1879" customFormat="false" ht="15.75" hidden="false" customHeight="true" outlineLevel="0" collapsed="false"/>
    <row r="1880" customFormat="false" ht="15.75" hidden="false" customHeight="true" outlineLevel="0" collapsed="false"/>
    <row r="1881" customFormat="false" ht="15.75" hidden="false" customHeight="true" outlineLevel="0" collapsed="false"/>
    <row r="1882" customFormat="false" ht="15.75" hidden="false" customHeight="true" outlineLevel="0" collapsed="false"/>
    <row r="1883" customFormat="false" ht="15.75" hidden="false" customHeight="true" outlineLevel="0" collapsed="false"/>
    <row r="1884" customFormat="false" ht="15.75" hidden="false" customHeight="true" outlineLevel="0" collapsed="false"/>
    <row r="1885" customFormat="false" ht="15.75" hidden="false" customHeight="true" outlineLevel="0" collapsed="false"/>
    <row r="1886" customFormat="false" ht="15.75" hidden="false" customHeight="true" outlineLevel="0" collapsed="false"/>
    <row r="1887" customFormat="false" ht="15.75" hidden="false" customHeight="true" outlineLevel="0" collapsed="false"/>
    <row r="1888" customFormat="false" ht="15.75" hidden="false" customHeight="true" outlineLevel="0" collapsed="false"/>
    <row r="1889" customFormat="false" ht="15.75" hidden="false" customHeight="true" outlineLevel="0" collapsed="false"/>
    <row r="1890" customFormat="false" ht="15.75" hidden="false" customHeight="true" outlineLevel="0" collapsed="false"/>
    <row r="1891" customFormat="false" ht="15.75" hidden="false" customHeight="true" outlineLevel="0" collapsed="false"/>
    <row r="1892" customFormat="false" ht="15.75" hidden="false" customHeight="true" outlineLevel="0" collapsed="false"/>
    <row r="1893" customFormat="false" ht="15.75" hidden="false" customHeight="true" outlineLevel="0" collapsed="false"/>
    <row r="1894" customFormat="false" ht="15.75" hidden="false" customHeight="true" outlineLevel="0" collapsed="false"/>
    <row r="1895" customFormat="false" ht="15.75" hidden="false" customHeight="true" outlineLevel="0" collapsed="false"/>
    <row r="1896" customFormat="false" ht="15.75" hidden="false" customHeight="true" outlineLevel="0" collapsed="false"/>
    <row r="1897" customFormat="false" ht="15.75" hidden="false" customHeight="true" outlineLevel="0" collapsed="false"/>
    <row r="1898" customFormat="false" ht="15.75" hidden="false" customHeight="true" outlineLevel="0" collapsed="false"/>
    <row r="1899" customFormat="false" ht="15.75" hidden="false" customHeight="true" outlineLevel="0" collapsed="false"/>
    <row r="1900" customFormat="false" ht="15.75" hidden="false" customHeight="true" outlineLevel="0" collapsed="false"/>
    <row r="1901" customFormat="false" ht="15.75" hidden="false" customHeight="true" outlineLevel="0" collapsed="false"/>
    <row r="1902" customFormat="false" ht="15.75" hidden="false" customHeight="true" outlineLevel="0" collapsed="false"/>
    <row r="1903" customFormat="false" ht="15.75" hidden="false" customHeight="true" outlineLevel="0" collapsed="false"/>
    <row r="1904" customFormat="false" ht="15.75" hidden="false" customHeight="true" outlineLevel="0" collapsed="false"/>
    <row r="1905" customFormat="false" ht="15.75" hidden="false" customHeight="true" outlineLevel="0" collapsed="false"/>
    <row r="1906" customFormat="false" ht="15.75" hidden="false" customHeight="true" outlineLevel="0" collapsed="false"/>
    <row r="1907" customFormat="false" ht="15.75" hidden="false" customHeight="true" outlineLevel="0" collapsed="false"/>
    <row r="1908" customFormat="false" ht="15.75" hidden="false" customHeight="true" outlineLevel="0" collapsed="false"/>
    <row r="1909" customFormat="false" ht="15.75" hidden="false" customHeight="true" outlineLevel="0" collapsed="false"/>
    <row r="1910" customFormat="false" ht="15.75" hidden="false" customHeight="true" outlineLevel="0" collapsed="false"/>
    <row r="1911" customFormat="false" ht="15.75" hidden="false" customHeight="true" outlineLevel="0" collapsed="false"/>
    <row r="1912" customFormat="false" ht="15.75" hidden="false" customHeight="true" outlineLevel="0" collapsed="false"/>
    <row r="1913" customFormat="false" ht="15.75" hidden="false" customHeight="true" outlineLevel="0" collapsed="false"/>
    <row r="1914" customFormat="false" ht="15.75" hidden="false" customHeight="true" outlineLevel="0" collapsed="false"/>
    <row r="1915" customFormat="false" ht="15.75" hidden="false" customHeight="true" outlineLevel="0" collapsed="false"/>
    <row r="1916" customFormat="false" ht="15.75" hidden="false" customHeight="true" outlineLevel="0" collapsed="false"/>
    <row r="1917" customFormat="false" ht="15.75" hidden="false" customHeight="true" outlineLevel="0" collapsed="false"/>
    <row r="1918" customFormat="false" ht="15.75" hidden="false" customHeight="true" outlineLevel="0" collapsed="false"/>
    <row r="1919" customFormat="false" ht="15.75" hidden="false" customHeight="true" outlineLevel="0" collapsed="false"/>
    <row r="1920" customFormat="false" ht="15.75" hidden="false" customHeight="true" outlineLevel="0" collapsed="false"/>
    <row r="1921" customFormat="false" ht="15.75" hidden="false" customHeight="true" outlineLevel="0" collapsed="false"/>
    <row r="1922" customFormat="false" ht="15.75" hidden="false" customHeight="true" outlineLevel="0" collapsed="false"/>
    <row r="1923" customFormat="false" ht="15.75" hidden="false" customHeight="true" outlineLevel="0" collapsed="false"/>
    <row r="1924" customFormat="false" ht="15.75" hidden="false" customHeight="true" outlineLevel="0" collapsed="false"/>
    <row r="1925" customFormat="false" ht="15.75" hidden="false" customHeight="true" outlineLevel="0" collapsed="false"/>
    <row r="1926" customFormat="false" ht="15.75" hidden="false" customHeight="true" outlineLevel="0" collapsed="false"/>
    <row r="1927" customFormat="false" ht="15.75" hidden="false" customHeight="true" outlineLevel="0" collapsed="false"/>
    <row r="1928" customFormat="false" ht="15.75" hidden="false" customHeight="true" outlineLevel="0" collapsed="false"/>
    <row r="1929" customFormat="false" ht="15.75" hidden="false" customHeight="true" outlineLevel="0" collapsed="false"/>
    <row r="1930" customFormat="false" ht="15.75" hidden="false" customHeight="true" outlineLevel="0" collapsed="false"/>
    <row r="1931" customFormat="false" ht="15.75" hidden="false" customHeight="true" outlineLevel="0" collapsed="false"/>
    <row r="1932" customFormat="false" ht="15.75" hidden="false" customHeight="true" outlineLevel="0" collapsed="false"/>
    <row r="1933" customFormat="false" ht="15.75" hidden="false" customHeight="true" outlineLevel="0" collapsed="false"/>
    <row r="1934" customFormat="false" ht="15.75" hidden="false" customHeight="true" outlineLevel="0" collapsed="false"/>
    <row r="1935" customFormat="false" ht="15.75" hidden="false" customHeight="true" outlineLevel="0" collapsed="false"/>
    <row r="1936" customFormat="false" ht="15.75" hidden="false" customHeight="true" outlineLevel="0" collapsed="false"/>
    <row r="1937" customFormat="false" ht="15.75" hidden="false" customHeight="true" outlineLevel="0" collapsed="false"/>
    <row r="1938" customFormat="false" ht="15.75" hidden="false" customHeight="true" outlineLevel="0" collapsed="false"/>
    <row r="1939" customFormat="false" ht="15.75" hidden="false" customHeight="true" outlineLevel="0" collapsed="false"/>
    <row r="1940" customFormat="false" ht="15.75" hidden="false" customHeight="true" outlineLevel="0" collapsed="false"/>
    <row r="1941" customFormat="false" ht="15.75" hidden="false" customHeight="true" outlineLevel="0" collapsed="false"/>
    <row r="1942" customFormat="false" ht="15.75" hidden="false" customHeight="true" outlineLevel="0" collapsed="false"/>
    <row r="1943" customFormat="false" ht="15.75" hidden="false" customHeight="true" outlineLevel="0" collapsed="false"/>
    <row r="1944" customFormat="false" ht="15.75" hidden="false" customHeight="true" outlineLevel="0" collapsed="false"/>
    <row r="1945" customFormat="false" ht="15.75" hidden="false" customHeight="true" outlineLevel="0" collapsed="false"/>
    <row r="1946" customFormat="false" ht="15.75" hidden="false" customHeight="true" outlineLevel="0" collapsed="false"/>
    <row r="1947" customFormat="false" ht="15.75" hidden="false" customHeight="true" outlineLevel="0" collapsed="false"/>
    <row r="1948" customFormat="false" ht="15.75" hidden="false" customHeight="true" outlineLevel="0" collapsed="false"/>
    <row r="1949" customFormat="false" ht="15.75" hidden="false" customHeight="true" outlineLevel="0" collapsed="false"/>
    <row r="1950" customFormat="false" ht="15.75" hidden="false" customHeight="true" outlineLevel="0" collapsed="false"/>
    <row r="1951" customFormat="false" ht="15.75" hidden="false" customHeight="true" outlineLevel="0" collapsed="false"/>
    <row r="1952" customFormat="false" ht="15.75" hidden="false" customHeight="true" outlineLevel="0" collapsed="false"/>
    <row r="1953" customFormat="false" ht="15.75" hidden="false" customHeight="true" outlineLevel="0" collapsed="false"/>
    <row r="1954" customFormat="false" ht="15.75" hidden="false" customHeight="true" outlineLevel="0" collapsed="false"/>
    <row r="1955" customFormat="false" ht="15.75" hidden="false" customHeight="true" outlineLevel="0" collapsed="false"/>
    <row r="1956" customFormat="false" ht="15.75" hidden="false" customHeight="true" outlineLevel="0" collapsed="false"/>
    <row r="1957" customFormat="false" ht="15.75" hidden="false" customHeight="true" outlineLevel="0" collapsed="false"/>
    <row r="1958" customFormat="false" ht="15.75" hidden="false" customHeight="true" outlineLevel="0" collapsed="false"/>
    <row r="1959" customFormat="false" ht="15.75" hidden="false" customHeight="true" outlineLevel="0" collapsed="false"/>
    <row r="1960" customFormat="false" ht="15.75" hidden="false" customHeight="true" outlineLevel="0" collapsed="false"/>
    <row r="1961" customFormat="false" ht="15.75" hidden="false" customHeight="true" outlineLevel="0" collapsed="false"/>
    <row r="1962" customFormat="false" ht="15.75" hidden="false" customHeight="true" outlineLevel="0" collapsed="false"/>
    <row r="1963" customFormat="false" ht="15.75" hidden="false" customHeight="true" outlineLevel="0" collapsed="false"/>
    <row r="1964" customFormat="false" ht="15.75" hidden="false" customHeight="true" outlineLevel="0" collapsed="false"/>
    <row r="1965" customFormat="false" ht="15.75" hidden="false" customHeight="true" outlineLevel="0" collapsed="false"/>
    <row r="1966" customFormat="false" ht="15.75" hidden="false" customHeight="true" outlineLevel="0" collapsed="false"/>
    <row r="1967" customFormat="false" ht="15.75" hidden="false" customHeight="true" outlineLevel="0" collapsed="false"/>
    <row r="1968" customFormat="false" ht="15.75" hidden="false" customHeight="true" outlineLevel="0" collapsed="false"/>
    <row r="1969" customFormat="false" ht="15.75" hidden="false" customHeight="true" outlineLevel="0" collapsed="false"/>
    <row r="1970" customFormat="false" ht="15.75" hidden="false" customHeight="true" outlineLevel="0" collapsed="false"/>
    <row r="1971" customFormat="false" ht="15.75" hidden="false" customHeight="true" outlineLevel="0" collapsed="false"/>
    <row r="1972" customFormat="false" ht="15.75" hidden="false" customHeight="true" outlineLevel="0" collapsed="false"/>
    <row r="1973" customFormat="false" ht="15.75" hidden="false" customHeight="true" outlineLevel="0" collapsed="false"/>
    <row r="1974" customFormat="false" ht="15.75" hidden="false" customHeight="true" outlineLevel="0" collapsed="false"/>
    <row r="1975" customFormat="false" ht="15.75" hidden="false" customHeight="true" outlineLevel="0" collapsed="false"/>
    <row r="1976" customFormat="false" ht="15.75" hidden="false" customHeight="true" outlineLevel="0" collapsed="false"/>
    <row r="1977" customFormat="false" ht="15.75" hidden="false" customHeight="true" outlineLevel="0" collapsed="false"/>
    <row r="1978" customFormat="false" ht="15.75" hidden="false" customHeight="true" outlineLevel="0" collapsed="false"/>
    <row r="1979" customFormat="false" ht="15.75" hidden="false" customHeight="true" outlineLevel="0" collapsed="false"/>
    <row r="1980" customFormat="false" ht="15.75" hidden="false" customHeight="true" outlineLevel="0" collapsed="false"/>
    <row r="1981" customFormat="false" ht="15.75" hidden="false" customHeight="true" outlineLevel="0" collapsed="false"/>
    <row r="1982" customFormat="false" ht="15.75" hidden="false" customHeight="true" outlineLevel="0" collapsed="false"/>
    <row r="1983" customFormat="false" ht="15.75" hidden="false" customHeight="true" outlineLevel="0" collapsed="false"/>
    <row r="1984" customFormat="false" ht="15.75" hidden="false" customHeight="true" outlineLevel="0" collapsed="false"/>
    <row r="1985" customFormat="false" ht="15.75" hidden="false" customHeight="true" outlineLevel="0" collapsed="false"/>
    <row r="1986" customFormat="false" ht="15.75" hidden="false" customHeight="true" outlineLevel="0" collapsed="false"/>
    <row r="1987" customFormat="false" ht="15.75" hidden="false" customHeight="true" outlineLevel="0" collapsed="false"/>
    <row r="1988" customFormat="false" ht="15.75" hidden="false" customHeight="true" outlineLevel="0" collapsed="false"/>
    <row r="1989" customFormat="false" ht="15.75" hidden="false" customHeight="true" outlineLevel="0" collapsed="false"/>
    <row r="1990" customFormat="false" ht="15.75" hidden="false" customHeight="true" outlineLevel="0" collapsed="false"/>
    <row r="1991" customFormat="false" ht="15.75" hidden="false" customHeight="true" outlineLevel="0" collapsed="false"/>
    <row r="1992" customFormat="false" ht="15.75" hidden="false" customHeight="true" outlineLevel="0" collapsed="false"/>
    <row r="1993" customFormat="false" ht="15.75" hidden="false" customHeight="true" outlineLevel="0" collapsed="false"/>
    <row r="1994" customFormat="false" ht="15.75" hidden="false" customHeight="true" outlineLevel="0" collapsed="false"/>
    <row r="1995" customFormat="false" ht="15.75" hidden="false" customHeight="true" outlineLevel="0" collapsed="false"/>
    <row r="1996" customFormat="false" ht="15.75" hidden="false" customHeight="true" outlineLevel="0" collapsed="false"/>
    <row r="1997" customFormat="false" ht="15.75" hidden="false" customHeight="true" outlineLevel="0" collapsed="false"/>
    <row r="1998" customFormat="false" ht="15.75" hidden="false" customHeight="true" outlineLevel="0" collapsed="false"/>
    <row r="1999" customFormat="false" ht="15.75" hidden="false" customHeight="true" outlineLevel="0" collapsed="false"/>
    <row r="2000" customFormat="false" ht="15.75" hidden="false" customHeight="true" outlineLevel="0" collapsed="false"/>
    <row r="2001" customFormat="false" ht="15.75" hidden="false" customHeight="true" outlineLevel="0" collapsed="false"/>
    <row r="2002" customFormat="false" ht="15.75" hidden="false" customHeight="true" outlineLevel="0" collapsed="false"/>
    <row r="2003" customFormat="false" ht="15.75" hidden="false" customHeight="true" outlineLevel="0" collapsed="false"/>
    <row r="2004" customFormat="false" ht="15.75" hidden="false" customHeight="true" outlineLevel="0" collapsed="false"/>
    <row r="2005" customFormat="false" ht="15.75" hidden="false" customHeight="true" outlineLevel="0" collapsed="false"/>
    <row r="2006" customFormat="false" ht="15.75" hidden="false" customHeight="true" outlineLevel="0" collapsed="false"/>
    <row r="2007" customFormat="false" ht="15.75" hidden="false" customHeight="true" outlineLevel="0" collapsed="false"/>
    <row r="2008" customFormat="false" ht="15.75" hidden="false" customHeight="true" outlineLevel="0" collapsed="false"/>
    <row r="2009" customFormat="false" ht="15.75" hidden="false" customHeight="true" outlineLevel="0" collapsed="false"/>
    <row r="2010" customFormat="false" ht="15.75" hidden="false" customHeight="true" outlineLevel="0" collapsed="false"/>
    <row r="2011" customFormat="false" ht="15.75" hidden="false" customHeight="true" outlineLevel="0" collapsed="false"/>
    <row r="2012" customFormat="false" ht="15.75" hidden="false" customHeight="true" outlineLevel="0" collapsed="false"/>
    <row r="2013" customFormat="false" ht="15.75" hidden="false" customHeight="true" outlineLevel="0" collapsed="false"/>
    <row r="2014" customFormat="false" ht="15.75" hidden="false" customHeight="true" outlineLevel="0" collapsed="false"/>
    <row r="2015" customFormat="false" ht="15.75" hidden="false" customHeight="true" outlineLevel="0" collapsed="false"/>
    <row r="2016" customFormat="false" ht="15.75" hidden="false" customHeight="true" outlineLevel="0" collapsed="false"/>
    <row r="2017" customFormat="false" ht="15.75" hidden="false" customHeight="true" outlineLevel="0" collapsed="false"/>
    <row r="2018" customFormat="false" ht="15.75" hidden="false" customHeight="true" outlineLevel="0" collapsed="false"/>
    <row r="2019" customFormat="false" ht="15.75" hidden="false" customHeight="true" outlineLevel="0" collapsed="false"/>
    <row r="2020" customFormat="false" ht="15.75" hidden="false" customHeight="true" outlineLevel="0" collapsed="false"/>
    <row r="2021" customFormat="false" ht="15.75" hidden="false" customHeight="true" outlineLevel="0" collapsed="false"/>
    <row r="2022" customFormat="false" ht="15.75" hidden="false" customHeight="true" outlineLevel="0" collapsed="false"/>
    <row r="2023" customFormat="false" ht="15.75" hidden="false" customHeight="true" outlineLevel="0" collapsed="false"/>
    <row r="2024" customFormat="false" ht="15.75" hidden="false" customHeight="true" outlineLevel="0" collapsed="false"/>
    <row r="2025" customFormat="false" ht="15.75" hidden="false" customHeight="true" outlineLevel="0" collapsed="false"/>
    <row r="2026" customFormat="false" ht="15.75" hidden="false" customHeight="true" outlineLevel="0" collapsed="false"/>
    <row r="2027" customFormat="false" ht="15.75" hidden="false" customHeight="true" outlineLevel="0" collapsed="false"/>
    <row r="2028" customFormat="false" ht="15.75" hidden="false" customHeight="true" outlineLevel="0" collapsed="false"/>
    <row r="2029" customFormat="false" ht="15.75" hidden="false" customHeight="true" outlineLevel="0" collapsed="false"/>
    <row r="2030" customFormat="false" ht="15.75" hidden="false" customHeight="true" outlineLevel="0" collapsed="false"/>
    <row r="2031" customFormat="false" ht="15.75" hidden="false" customHeight="true" outlineLevel="0" collapsed="false"/>
    <row r="2032" customFormat="false" ht="15.75" hidden="false" customHeight="true" outlineLevel="0" collapsed="false"/>
    <row r="2033" customFormat="false" ht="15.75" hidden="false" customHeight="true" outlineLevel="0" collapsed="false"/>
  </sheetData>
  <autoFilter ref="B1:O116"/>
  <conditionalFormatting sqref="E61">
    <cfRule type="cellIs" priority="2" operator="equal" aboveAverage="0" equalAverage="0" bottom="0" percent="0" rank="0" text="" dxfId="49">
      <formula>"TP"</formula>
    </cfRule>
  </conditionalFormatting>
  <conditionalFormatting sqref="C61:H61 D39:D40 D57">
    <cfRule type="cellIs" priority="3" operator="equal" aboveAverage="0" equalAverage="0" bottom="0" percent="0" rank="0" text="" dxfId="50">
      <formula>"PvCre"</formula>
    </cfRule>
    <cfRule type="cellIs" priority="4" operator="equal" aboveAverage="0" equalAverage="0" bottom="0" percent="0" rank="0" text="" dxfId="51">
      <formula>"Calb2-Cre"</formula>
    </cfRule>
    <cfRule type="cellIs" priority="5" operator="equal" aboveAverage="0" equalAverage="0" bottom="0" percent="0" rank="0" text="" dxfId="52">
      <formula>"FlCx36-KO (hom)"</formula>
    </cfRule>
    <cfRule type="cellIs" priority="6" operator="equal" aboveAverage="0" equalAverage="0" bottom="0" percent="0" rank="0" text="" dxfId="53">
      <formula>"FLCx36KO_Cx36FLX_PvCre"</formula>
    </cfRule>
    <cfRule type="cellIs" priority="7" operator="equal" aboveAverage="0" equalAverage="0" bottom="0" percent="0" rank="0" text="" dxfId="54">
      <formula>"PVCre?"</formula>
    </cfRule>
    <cfRule type="cellIs" priority="8" operator="equal" aboveAverage="0" equalAverage="0" bottom="0" percent="0" rank="0" text="" dxfId="55">
      <formula>"FlCx36-KO x PVCre"</formula>
    </cfRule>
    <cfRule type="cellIs" priority="9" operator="equal" aboveAverage="0" equalAverage="0" bottom="0" percent="0" rank="0" text="" dxfId="56">
      <formula>"GCaMP3Thy1"</formula>
    </cfRule>
    <cfRule type="cellIs" priority="10" operator="equal" aboveAverage="0" equalAverage="0" bottom="0" percent="0" rank="0" text="" dxfId="57">
      <formula>"TdTom - Flox"</formula>
    </cfRule>
    <cfRule type="cellIs" priority="11" operator="equal" aboveAverage="0" equalAverage="0" bottom="0" percent="0" rank="0" text="" dxfId="58">
      <formula>"Bl6"</formula>
    </cfRule>
    <cfRule type="expression" priority="12" aboveAverage="0" equalAverage="0" bottom="0" percent="0" rank="0" text="" dxfId="59">
      <formula>LEN(TRIM(C61))=0</formula>
    </cfRule>
  </conditionalFormatting>
  <conditionalFormatting sqref="F61">
    <cfRule type="cellIs" priority="13" operator="greaterThan" aboveAverage="0" equalAverage="0" bottom="0" percent="0" rank="0" text="" dxfId="60">
      <formula>5</formula>
    </cfRule>
    <cfRule type="cellIs" priority="14" operator="lessThan" aboveAverage="0" equalAverage="0" bottom="0" percent="0" rank="0" text="" dxfId="61">
      <formula>2</formula>
    </cfRule>
  </conditionalFormatting>
  <conditionalFormatting sqref="C90 D90:D91 E90:F90 G90:G91 I14 I24 I26">
    <cfRule type="cellIs" priority="15" operator="equal" aboveAverage="0" equalAverage="0" bottom="0" percent="0" rank="0" text="" dxfId="50">
      <formula>"PvCre"</formula>
    </cfRule>
    <cfRule type="cellIs" priority="16" operator="equal" aboveAverage="0" equalAverage="0" bottom="0" percent="0" rank="0" text="" dxfId="51">
      <formula>"Calb2-Cre"</formula>
    </cfRule>
    <cfRule type="cellIs" priority="17" operator="equal" aboveAverage="0" equalAverage="0" bottom="0" percent="0" rank="0" text="" dxfId="52">
      <formula>"FlCx36-KO (hom)"</formula>
    </cfRule>
    <cfRule type="cellIs" priority="18" operator="equal" aboveAverage="0" equalAverage="0" bottom="0" percent="0" rank="0" text="" dxfId="53">
      <formula>"FLCx36KO_Cx36FLX_PvCre"</formula>
    </cfRule>
    <cfRule type="cellIs" priority="19" operator="equal" aboveAverage="0" equalAverage="0" bottom="0" percent="0" rank="0" text="" dxfId="54">
      <formula>"PVCre?"</formula>
    </cfRule>
    <cfRule type="cellIs" priority="20" operator="equal" aboveAverage="0" equalAverage="0" bottom="0" percent="0" rank="0" text="" dxfId="55">
      <formula>"FlCx36-KO x PVCre"</formula>
    </cfRule>
    <cfRule type="cellIs" priority="21" operator="equal" aboveAverage="0" equalAverage="0" bottom="0" percent="0" rank="0" text="" dxfId="56">
      <formula>"GCaMP3Thy1"</formula>
    </cfRule>
    <cfRule type="cellIs" priority="22" operator="equal" aboveAverage="0" equalAverage="0" bottom="0" percent="0" rank="0" text="" dxfId="57">
      <formula>"TdTom - Flox"</formula>
    </cfRule>
    <cfRule type="cellIs" priority="23" operator="equal" aboveAverage="0" equalAverage="0" bottom="0" percent="0" rank="0" text="" dxfId="58">
      <formula>"Bl6"</formula>
    </cfRule>
    <cfRule type="expression" priority="24" aboveAverage="0" equalAverage="0" bottom="0" percent="0" rank="0" text="" dxfId="59">
      <formula>LEN(TRIM(C90))=0</formula>
    </cfRule>
  </conditionalFormatting>
  <conditionalFormatting sqref="F90">
    <cfRule type="cellIs" priority="25" operator="greaterThan" aboveAverage="0" equalAverage="0" bottom="0" percent="0" rank="0" text="" dxfId="60">
      <formula>5</formula>
    </cfRule>
    <cfRule type="cellIs" priority="26" operator="lessThan" aboveAverage="0" equalAverage="0" bottom="0" percent="0" rank="0" text="" dxfId="61">
      <formula>2</formula>
    </cfRule>
  </conditionalFormatting>
  <conditionalFormatting sqref="E90">
    <cfRule type="cellIs" priority="27" operator="equal" aboveAverage="0" equalAverage="0" bottom="0" percent="0" rank="0" text="" dxfId="49">
      <formula>"TP"</formula>
    </cfRule>
  </conditionalFormatting>
  <conditionalFormatting sqref="F89">
    <cfRule type="cellIs" priority="28" operator="greaterThan" aboveAverage="0" equalAverage="0" bottom="0" percent="0" rank="0" text="" dxfId="60">
      <formula>5</formula>
    </cfRule>
    <cfRule type="cellIs" priority="29" operator="lessThan" aboveAverage="0" equalAverage="0" bottom="0" percent="0" rank="0" text="" dxfId="61">
      <formula>2</formula>
    </cfRule>
  </conditionalFormatting>
  <conditionalFormatting sqref="C89:H89">
    <cfRule type="cellIs" priority="30" operator="equal" aboveAverage="0" equalAverage="0" bottom="0" percent="0" rank="0" text="" dxfId="50">
      <formula>"PvCre"</formula>
    </cfRule>
    <cfRule type="cellIs" priority="31" operator="equal" aboveAverage="0" equalAverage="0" bottom="0" percent="0" rank="0" text="" dxfId="51">
      <formula>"Calb2-Cre"</formula>
    </cfRule>
    <cfRule type="cellIs" priority="32" operator="equal" aboveAverage="0" equalAverage="0" bottom="0" percent="0" rank="0" text="" dxfId="52">
      <formula>"FlCx36-KO (hom)"</formula>
    </cfRule>
    <cfRule type="cellIs" priority="33" operator="equal" aboveAverage="0" equalAverage="0" bottom="0" percent="0" rank="0" text="" dxfId="53">
      <formula>"FLCx36KO_Cx36FLX_PvCre"</formula>
    </cfRule>
    <cfRule type="cellIs" priority="34" operator="equal" aboveAverage="0" equalAverage="0" bottom="0" percent="0" rank="0" text="" dxfId="54">
      <formula>"PVCre?"</formula>
    </cfRule>
    <cfRule type="cellIs" priority="35" operator="equal" aboveAverage="0" equalAverage="0" bottom="0" percent="0" rank="0" text="" dxfId="55">
      <formula>"FlCx36-KO x PVCre"</formula>
    </cfRule>
    <cfRule type="cellIs" priority="36" operator="equal" aboveAverage="0" equalAverage="0" bottom="0" percent="0" rank="0" text="" dxfId="56">
      <formula>"GCaMP3Thy1"</formula>
    </cfRule>
    <cfRule type="cellIs" priority="37" operator="equal" aboveAverage="0" equalAverage="0" bottom="0" percent="0" rank="0" text="" dxfId="57">
      <formula>"TdTom - Flox"</formula>
    </cfRule>
    <cfRule type="cellIs" priority="38" operator="equal" aboveAverage="0" equalAverage="0" bottom="0" percent="0" rank="0" text="" dxfId="58">
      <formula>"Bl6"</formula>
    </cfRule>
    <cfRule type="expression" priority="39" aboveAverage="0" equalAverage="0" bottom="0" percent="0" rank="0" text="" dxfId="59">
      <formula>LEN(TRIM(C89))=0</formula>
    </cfRule>
  </conditionalFormatting>
  <conditionalFormatting sqref="E89">
    <cfRule type="cellIs" priority="40" operator="equal" aboveAverage="0" equalAverage="0" bottom="0" percent="0" rank="0" text="" dxfId="49">
      <formula>"TP"</formula>
    </cfRule>
  </conditionalFormatting>
  <conditionalFormatting sqref="I88">
    <cfRule type="containsText" priority="41" operator="containsText" aboveAverage="0" equalAverage="0" bottom="0" percent="0" rank="0" text="használni" dxfId="62">
      <formula>NOT(ISERROR(SEARCH("használni",I88)))</formula>
    </cfRule>
  </conditionalFormatting>
  <conditionalFormatting sqref="C88 D55:D56 D63:D64 D86:D89 E87:G88 H88:I88">
    <cfRule type="cellIs" priority="42" operator="equal" aboveAverage="0" equalAverage="0" bottom="0" percent="0" rank="0" text="" dxfId="50">
      <formula>"PvCre"</formula>
    </cfRule>
    <cfRule type="cellIs" priority="43" operator="equal" aboveAverage="0" equalAverage="0" bottom="0" percent="0" rank="0" text="" dxfId="51">
      <formula>"Calb2-Cre"</formula>
    </cfRule>
    <cfRule type="cellIs" priority="44" operator="equal" aboveAverage="0" equalAverage="0" bottom="0" percent="0" rank="0" text="" dxfId="52">
      <formula>"FlCx36-KO (hom)"</formula>
    </cfRule>
    <cfRule type="cellIs" priority="45" operator="equal" aboveAverage="0" equalAverage="0" bottom="0" percent="0" rank="0" text="" dxfId="53">
      <formula>"FLCx36KO_Cx36FLX_PvCre"</formula>
    </cfRule>
    <cfRule type="cellIs" priority="46" operator="equal" aboveAverage="0" equalAverage="0" bottom="0" percent="0" rank="0" text="" dxfId="54">
      <formula>"PVCre?"</formula>
    </cfRule>
    <cfRule type="cellIs" priority="47" operator="equal" aboveAverage="0" equalAverage="0" bottom="0" percent="0" rank="0" text="" dxfId="55">
      <formula>"FlCx36-KO x PVCre"</formula>
    </cfRule>
    <cfRule type="cellIs" priority="48" operator="equal" aboveAverage="0" equalAverage="0" bottom="0" percent="0" rank="0" text="" dxfId="56">
      <formula>"GCaMP3Thy1"</formula>
    </cfRule>
    <cfRule type="cellIs" priority="49" operator="equal" aboveAverage="0" equalAverage="0" bottom="0" percent="0" rank="0" text="" dxfId="57">
      <formula>"TdTom - Flox"</formula>
    </cfRule>
    <cfRule type="cellIs" priority="50" operator="equal" aboveAverage="0" equalAverage="0" bottom="0" percent="0" rank="0" text="" dxfId="58">
      <formula>"Bl6"</formula>
    </cfRule>
    <cfRule type="expression" priority="51" aboveAverage="0" equalAverage="0" bottom="0" percent="0" rank="0" text="" dxfId="59">
      <formula>LEN(TRIM(C88))=0</formula>
    </cfRule>
  </conditionalFormatting>
  <conditionalFormatting sqref="E87:E88">
    <cfRule type="cellIs" priority="52" operator="equal" aboveAverage="0" equalAverage="0" bottom="0" percent="0" rank="0" text="" dxfId="49">
      <formula>"TP"</formula>
    </cfRule>
  </conditionalFormatting>
  <conditionalFormatting sqref="F87:F88">
    <cfRule type="cellIs" priority="53" operator="greaterThan" aboveAverage="0" equalAverage="0" bottom="0" percent="0" rank="0" text="" dxfId="60">
      <formula>5</formula>
    </cfRule>
    <cfRule type="cellIs" priority="54" operator="lessThan" aboveAverage="0" equalAverage="0" bottom="0" percent="0" rank="0" text="" dxfId="61">
      <formula>2</formula>
    </cfRule>
  </conditionalFormatting>
  <conditionalFormatting sqref="E87">
    <cfRule type="cellIs" priority="55" operator="equal" aboveAverage="0" equalAverage="0" bottom="0" percent="0" rank="0" text="" dxfId="49">
      <formula>"TP"</formula>
    </cfRule>
  </conditionalFormatting>
  <conditionalFormatting sqref="C87 D55:D56 D63:D64 D86:D87 D89 E87:G87">
    <cfRule type="cellIs" priority="56" operator="equal" aboveAverage="0" equalAverage="0" bottom="0" percent="0" rank="0" text="" dxfId="50">
      <formula>"PvCre"</formula>
    </cfRule>
    <cfRule type="cellIs" priority="57" operator="equal" aboveAverage="0" equalAverage="0" bottom="0" percent="0" rank="0" text="" dxfId="51">
      <formula>"Calb2-Cre"</formula>
    </cfRule>
    <cfRule type="cellIs" priority="58" operator="equal" aboveAverage="0" equalAverage="0" bottom="0" percent="0" rank="0" text="" dxfId="52">
      <formula>"FlCx36-KO (hom)"</formula>
    </cfRule>
    <cfRule type="cellIs" priority="59" operator="equal" aboveAverage="0" equalAverage="0" bottom="0" percent="0" rank="0" text="" dxfId="53">
      <formula>"FLCx36KO_Cx36FLX_PvCre"</formula>
    </cfRule>
    <cfRule type="cellIs" priority="60" operator="equal" aboveAverage="0" equalAverage="0" bottom="0" percent="0" rank="0" text="" dxfId="54">
      <formula>"PVCre?"</formula>
    </cfRule>
    <cfRule type="cellIs" priority="61" operator="equal" aboveAverage="0" equalAverage="0" bottom="0" percent="0" rank="0" text="" dxfId="55">
      <formula>"FlCx36-KO x PVCre"</formula>
    </cfRule>
    <cfRule type="cellIs" priority="62" operator="equal" aboveAverage="0" equalAverage="0" bottom="0" percent="0" rank="0" text="" dxfId="56">
      <formula>"GCaMP3Thy1"</formula>
    </cfRule>
    <cfRule type="cellIs" priority="63" operator="equal" aboveAverage="0" equalAverage="0" bottom="0" percent="0" rank="0" text="" dxfId="57">
      <formula>"TdTom - Flox"</formula>
    </cfRule>
    <cfRule type="cellIs" priority="64" operator="equal" aboveAverage="0" equalAverage="0" bottom="0" percent="0" rank="0" text="" dxfId="58">
      <formula>"Bl6"</formula>
    </cfRule>
    <cfRule type="expression" priority="65" aboveAverage="0" equalAverage="0" bottom="0" percent="0" rank="0" text="" dxfId="59">
      <formula>LEN(TRIM(C87))=0</formula>
    </cfRule>
  </conditionalFormatting>
  <conditionalFormatting sqref="F87">
    <cfRule type="cellIs" priority="66" operator="greaterThan" aboveAverage="0" equalAverage="0" bottom="0" percent="0" rank="0" text="" dxfId="60">
      <formula>5</formula>
    </cfRule>
    <cfRule type="cellIs" priority="67" operator="lessThan" aboveAverage="0" equalAverage="0" bottom="0" percent="0" rank="0" text="" dxfId="61">
      <formula>2</formula>
    </cfRule>
  </conditionalFormatting>
  <conditionalFormatting sqref="E86">
    <cfRule type="cellIs" priority="68" operator="equal" aboveAverage="0" equalAverage="0" bottom="0" percent="0" rank="0" text="" dxfId="49">
      <formula>"TP"</formula>
    </cfRule>
  </conditionalFormatting>
  <conditionalFormatting sqref="F86">
    <cfRule type="cellIs" priority="69" operator="greaterThan" aboveAverage="0" equalAverage="0" bottom="0" percent="0" rank="0" text="" dxfId="60">
      <formula>5</formula>
    </cfRule>
    <cfRule type="cellIs" priority="70" operator="lessThan" aboveAverage="0" equalAverage="0" bottom="0" percent="0" rank="0" text="" dxfId="61">
      <formula>2</formula>
    </cfRule>
  </conditionalFormatting>
  <conditionalFormatting sqref="C86:G86">
    <cfRule type="cellIs" priority="71" operator="equal" aboveAverage="0" equalAverage="0" bottom="0" percent="0" rank="0" text="" dxfId="50">
      <formula>"PvCre"</formula>
    </cfRule>
    <cfRule type="cellIs" priority="72" operator="equal" aboveAverage="0" equalAverage="0" bottom="0" percent="0" rank="0" text="" dxfId="51">
      <formula>"Calb2-Cre"</formula>
    </cfRule>
    <cfRule type="cellIs" priority="73" operator="equal" aboveAverage="0" equalAverage="0" bottom="0" percent="0" rank="0" text="" dxfId="52">
      <formula>"FlCx36-KO (hom)"</formula>
    </cfRule>
    <cfRule type="cellIs" priority="74" operator="equal" aboveAverage="0" equalAverage="0" bottom="0" percent="0" rank="0" text="" dxfId="53">
      <formula>"FLCx36KO_Cx36FLX_PvCre"</formula>
    </cfRule>
    <cfRule type="cellIs" priority="75" operator="equal" aboveAverage="0" equalAverage="0" bottom="0" percent="0" rank="0" text="" dxfId="54">
      <formula>"PVCre?"</formula>
    </cfRule>
    <cfRule type="cellIs" priority="76" operator="equal" aboveAverage="0" equalAverage="0" bottom="0" percent="0" rank="0" text="" dxfId="55">
      <formula>"FlCx36-KO x PVCre"</formula>
    </cfRule>
    <cfRule type="cellIs" priority="77" operator="equal" aboveAverage="0" equalAverage="0" bottom="0" percent="0" rank="0" text="" dxfId="56">
      <formula>"GCaMP3Thy1"</formula>
    </cfRule>
    <cfRule type="cellIs" priority="78" operator="equal" aboveAverage="0" equalAverage="0" bottom="0" percent="0" rank="0" text="" dxfId="57">
      <formula>"TdTom - Flox"</formula>
    </cfRule>
    <cfRule type="cellIs" priority="79" operator="equal" aboveAverage="0" equalAverage="0" bottom="0" percent="0" rank="0" text="" dxfId="58">
      <formula>"Bl6"</formula>
    </cfRule>
    <cfRule type="expression" priority="80" aboveAverage="0" equalAverage="0" bottom="0" percent="0" rank="0" text="" dxfId="59">
      <formula>LEN(TRIM(C86))=0</formula>
    </cfRule>
  </conditionalFormatting>
  <conditionalFormatting sqref="E84">
    <cfRule type="cellIs" priority="81" operator="equal" aboveAverage="0" equalAverage="0" bottom="0" percent="0" rank="0" text="" dxfId="49">
      <formula>"TP"</formula>
    </cfRule>
  </conditionalFormatting>
  <conditionalFormatting sqref="I84 I87 I89:I91 I94 I96:I98">
    <cfRule type="containsText" priority="82" operator="containsText" aboveAverage="0" equalAverage="0" bottom="0" percent="0" rank="0" text="használni" dxfId="62">
      <formula>NOT(ISERROR(SEARCH("használni",I84)))</formula>
    </cfRule>
  </conditionalFormatting>
  <conditionalFormatting sqref="C84:I84 C92:G92 H91 I87 I89:I91 I94 I96:I98">
    <cfRule type="cellIs" priority="83" operator="equal" aboveAverage="0" equalAverage="0" bottom="0" percent="0" rank="0" text="" dxfId="50">
      <formula>"PvCre"</formula>
    </cfRule>
    <cfRule type="cellIs" priority="84" operator="equal" aboveAverage="0" equalAverage="0" bottom="0" percent="0" rank="0" text="" dxfId="51">
      <formula>"Calb2-Cre"</formula>
    </cfRule>
    <cfRule type="cellIs" priority="85" operator="equal" aboveAverage="0" equalAverage="0" bottom="0" percent="0" rank="0" text="" dxfId="52">
      <formula>"FlCx36-KO (hom)"</formula>
    </cfRule>
    <cfRule type="cellIs" priority="86" operator="equal" aboveAverage="0" equalAverage="0" bottom="0" percent="0" rank="0" text="" dxfId="53">
      <formula>"FLCx36KO_Cx36FLX_PvCre"</formula>
    </cfRule>
    <cfRule type="cellIs" priority="87" operator="equal" aboveAverage="0" equalAverage="0" bottom="0" percent="0" rank="0" text="" dxfId="54">
      <formula>"PVCre?"</formula>
    </cfRule>
    <cfRule type="cellIs" priority="88" operator="equal" aboveAverage="0" equalAverage="0" bottom="0" percent="0" rank="0" text="" dxfId="55">
      <formula>"FlCx36-KO x PVCre"</formula>
    </cfRule>
    <cfRule type="cellIs" priority="89" operator="equal" aboveAverage="0" equalAverage="0" bottom="0" percent="0" rank="0" text="" dxfId="56">
      <formula>"GCaMP3Thy1"</formula>
    </cfRule>
    <cfRule type="cellIs" priority="90" operator="equal" aboveAverage="0" equalAverage="0" bottom="0" percent="0" rank="0" text="" dxfId="57">
      <formula>"TdTom - Flox"</formula>
    </cfRule>
    <cfRule type="cellIs" priority="91" operator="equal" aboveAverage="0" equalAverage="0" bottom="0" percent="0" rank="0" text="" dxfId="58">
      <formula>"Bl6"</formula>
    </cfRule>
    <cfRule type="expression" priority="92" aboveAverage="0" equalAverage="0" bottom="0" percent="0" rank="0" text="" dxfId="59">
      <formula>LEN(TRIM(C84))=0</formula>
    </cfRule>
  </conditionalFormatting>
  <conditionalFormatting sqref="F84">
    <cfRule type="cellIs" priority="93" operator="greaterThan" aboveAverage="0" equalAverage="0" bottom="0" percent="0" rank="0" text="" dxfId="60">
      <formula>5</formula>
    </cfRule>
    <cfRule type="cellIs" priority="94" operator="lessThan" aboveAverage="0" equalAverage="0" bottom="0" percent="0" rank="0" text="" dxfId="61">
      <formula>2</formula>
    </cfRule>
  </conditionalFormatting>
  <conditionalFormatting sqref="E83">
    <cfRule type="cellIs" priority="95" operator="equal" aboveAverage="0" equalAverage="0" bottom="0" percent="0" rank="0" text="" dxfId="49">
      <formula>"TP"</formula>
    </cfRule>
  </conditionalFormatting>
  <conditionalFormatting sqref="C83 D39:D40 D57:D58 D61:D62 D66 D70:D73 D80:D84 D96 E83:F83 G83:G84">
    <cfRule type="cellIs" priority="96" operator="equal" aboveAverage="0" equalAverage="0" bottom="0" percent="0" rank="0" text="" dxfId="50">
      <formula>"PvCre"</formula>
    </cfRule>
    <cfRule type="cellIs" priority="97" operator="equal" aboveAverage="0" equalAverage="0" bottom="0" percent="0" rank="0" text="" dxfId="51">
      <formula>"Calb2-Cre"</formula>
    </cfRule>
    <cfRule type="cellIs" priority="98" operator="equal" aboveAverage="0" equalAverage="0" bottom="0" percent="0" rank="0" text="" dxfId="52">
      <formula>"FlCx36-KO (hom)"</formula>
    </cfRule>
    <cfRule type="cellIs" priority="99" operator="equal" aboveAverage="0" equalAverage="0" bottom="0" percent="0" rank="0" text="" dxfId="53">
      <formula>"FLCx36KO_Cx36FLX_PvCre"</formula>
    </cfRule>
    <cfRule type="cellIs" priority="100" operator="equal" aboveAverage="0" equalAverage="0" bottom="0" percent="0" rank="0" text="" dxfId="54">
      <formula>"PVCre?"</formula>
    </cfRule>
    <cfRule type="cellIs" priority="101" operator="equal" aboveAverage="0" equalAverage="0" bottom="0" percent="0" rank="0" text="" dxfId="55">
      <formula>"FlCx36-KO x PVCre"</formula>
    </cfRule>
    <cfRule type="cellIs" priority="102" operator="equal" aboveAverage="0" equalAverage="0" bottom="0" percent="0" rank="0" text="" dxfId="56">
      <formula>"GCaMP3Thy1"</formula>
    </cfRule>
    <cfRule type="cellIs" priority="103" operator="equal" aboveAverage="0" equalAverage="0" bottom="0" percent="0" rank="0" text="" dxfId="57">
      <formula>"TdTom - Flox"</formula>
    </cfRule>
    <cfRule type="cellIs" priority="104" operator="equal" aboveAverage="0" equalAverage="0" bottom="0" percent="0" rank="0" text="" dxfId="58">
      <formula>"Bl6"</formula>
    </cfRule>
    <cfRule type="expression" priority="105" aboveAverage="0" equalAverage="0" bottom="0" percent="0" rank="0" text="" dxfId="59">
      <formula>LEN(TRIM(C83))=0</formula>
    </cfRule>
  </conditionalFormatting>
  <conditionalFormatting sqref="F83">
    <cfRule type="cellIs" priority="106" operator="greaterThan" aboveAverage="0" equalAverage="0" bottom="0" percent="0" rank="0" text="" dxfId="60">
      <formula>5</formula>
    </cfRule>
    <cfRule type="cellIs" priority="107" operator="lessThan" aboveAverage="0" equalAverage="0" bottom="0" percent="0" rank="0" text="" dxfId="61">
      <formula>2</formula>
    </cfRule>
  </conditionalFormatting>
  <conditionalFormatting sqref="E82:E83">
    <cfRule type="cellIs" priority="108" operator="equal" aboveAverage="0" equalAverage="0" bottom="0" percent="0" rank="0" text="" dxfId="49">
      <formula>"TP"</formula>
    </cfRule>
  </conditionalFormatting>
  <conditionalFormatting sqref="F82">
    <cfRule type="cellIs" priority="109" operator="lessThan" aboveAverage="0" equalAverage="0" bottom="0" percent="0" rank="0" text="" dxfId="61">
      <formula>2</formula>
    </cfRule>
    <cfRule type="cellIs" priority="110" operator="greaterThan" aboveAverage="0" equalAverage="0" bottom="0" percent="0" rank="0" text="" dxfId="60">
      <formula>5</formula>
    </cfRule>
  </conditionalFormatting>
  <conditionalFormatting sqref="C82:D82 D85 E82:E83 F82:H82">
    <cfRule type="expression" priority="111" aboveAverage="0" equalAverage="0" bottom="0" percent="0" rank="0" text="" dxfId="59">
      <formula>LEN(TRIM(C82))=0</formula>
    </cfRule>
    <cfRule type="cellIs" priority="112" operator="equal" aboveAverage="0" equalAverage="0" bottom="0" percent="0" rank="0" text="" dxfId="58">
      <formula>"Bl6"</formula>
    </cfRule>
    <cfRule type="cellIs" priority="113" operator="equal" aboveAverage="0" equalAverage="0" bottom="0" percent="0" rank="0" text="" dxfId="57">
      <formula>"TdTom - Flox"</formula>
    </cfRule>
    <cfRule type="cellIs" priority="114" operator="equal" aboveAverage="0" equalAverage="0" bottom="0" percent="0" rank="0" text="" dxfId="56">
      <formula>"GCaMP3Thy1"</formula>
    </cfRule>
    <cfRule type="cellIs" priority="115" operator="equal" aboveAverage="0" equalAverage="0" bottom="0" percent="0" rank="0" text="" dxfId="55">
      <formula>"FlCx36-KO x PVCre"</formula>
    </cfRule>
    <cfRule type="cellIs" priority="116" operator="equal" aboveAverage="0" equalAverage="0" bottom="0" percent="0" rank="0" text="" dxfId="54">
      <formula>"PVCre?"</formula>
    </cfRule>
    <cfRule type="cellIs" priority="117" operator="equal" aboveAverage="0" equalAverage="0" bottom="0" percent="0" rank="0" text="" dxfId="53">
      <formula>"FLCx36KO_Cx36FLX_PvCre"</formula>
    </cfRule>
    <cfRule type="cellIs" priority="118" operator="equal" aboveAverage="0" equalAverage="0" bottom="0" percent="0" rank="0" text="" dxfId="52">
      <formula>"FlCx36-KO (hom)"</formula>
    </cfRule>
    <cfRule type="cellIs" priority="119" operator="equal" aboveAverage="0" equalAverage="0" bottom="0" percent="0" rank="0" text="" dxfId="51">
      <formula>"Calb2-Cre"</formula>
    </cfRule>
    <cfRule type="cellIs" priority="120" operator="equal" aboveAverage="0" equalAverage="0" bottom="0" percent="0" rank="0" text="" dxfId="50">
      <formula>"PvCre"</formula>
    </cfRule>
  </conditionalFormatting>
  <conditionalFormatting sqref="E81">
    <cfRule type="cellIs" priority="121" operator="equal" aboveAverage="0" equalAverage="0" bottom="0" percent="0" rank="0" text="" dxfId="49">
      <formula>"TP"</formula>
    </cfRule>
  </conditionalFormatting>
  <conditionalFormatting sqref="I81">
    <cfRule type="containsText" priority="122" operator="containsText" aboveAverage="0" equalAverage="0" bottom="0" percent="0" rank="0" text="használni" dxfId="62">
      <formula>NOT(ISERROR(SEARCH("használni",I81)))</formula>
    </cfRule>
  </conditionalFormatting>
  <conditionalFormatting sqref="C81:I81">
    <cfRule type="expression" priority="123" aboveAverage="0" equalAverage="0" bottom="0" percent="0" rank="0" text="" dxfId="59">
      <formula>LEN(TRIM(C81))=0</formula>
    </cfRule>
    <cfRule type="cellIs" priority="124" operator="equal" aboveAverage="0" equalAverage="0" bottom="0" percent="0" rank="0" text="" dxfId="58">
      <formula>"Bl6"</formula>
    </cfRule>
    <cfRule type="cellIs" priority="125" operator="equal" aboveAverage="0" equalAverage="0" bottom="0" percent="0" rank="0" text="" dxfId="57">
      <formula>"TdTom - Flox"</formula>
    </cfRule>
    <cfRule type="cellIs" priority="126" operator="equal" aboveAverage="0" equalAverage="0" bottom="0" percent="0" rank="0" text="" dxfId="56">
      <formula>"GCaMP3Thy1"</formula>
    </cfRule>
    <cfRule type="cellIs" priority="127" operator="equal" aboveAverage="0" equalAverage="0" bottom="0" percent="0" rank="0" text="" dxfId="55">
      <formula>"FlCx36-KO x PVCre"</formula>
    </cfRule>
    <cfRule type="cellIs" priority="128" operator="equal" aboveAverage="0" equalAverage="0" bottom="0" percent="0" rank="0" text="" dxfId="54">
      <formula>"PVCre?"</formula>
    </cfRule>
    <cfRule type="cellIs" priority="129" operator="equal" aboveAverage="0" equalAverage="0" bottom="0" percent="0" rank="0" text="" dxfId="53">
      <formula>"FLCx36KO_Cx36FLX_PvCre"</formula>
    </cfRule>
    <cfRule type="cellIs" priority="130" operator="equal" aboveAverage="0" equalAverage="0" bottom="0" percent="0" rank="0" text="" dxfId="52">
      <formula>"FlCx36-KO (hom)"</formula>
    </cfRule>
    <cfRule type="cellIs" priority="131" operator="equal" aboveAverage="0" equalAverage="0" bottom="0" percent="0" rank="0" text="" dxfId="51">
      <formula>"Calb2-Cre"</formula>
    </cfRule>
    <cfRule type="cellIs" priority="132" operator="equal" aboveAverage="0" equalAverage="0" bottom="0" percent="0" rank="0" text="" dxfId="50">
      <formula>"PvCre"</formula>
    </cfRule>
  </conditionalFormatting>
  <conditionalFormatting sqref="F81">
    <cfRule type="cellIs" priority="133" operator="lessThan" aboveAverage="0" equalAverage="0" bottom="0" percent="0" rank="0" text="" dxfId="61">
      <formula>2</formula>
    </cfRule>
    <cfRule type="cellIs" priority="134" operator="greaterThan" aboveAverage="0" equalAverage="0" bottom="0" percent="0" rank="0" text="" dxfId="60">
      <formula>5</formula>
    </cfRule>
  </conditionalFormatting>
  <conditionalFormatting sqref="C80 D39:D40 D57 D61:D62 D66 D80:D81 E80:F80 G80:G81">
    <cfRule type="expression" priority="135" aboveAverage="0" equalAverage="0" bottom="0" percent="0" rank="0" text="" dxfId="59">
      <formula>LEN(TRIM(C80))=0</formula>
    </cfRule>
    <cfRule type="cellIs" priority="136" operator="equal" aboveAverage="0" equalAverage="0" bottom="0" percent="0" rank="0" text="" dxfId="58">
      <formula>"Bl6"</formula>
    </cfRule>
    <cfRule type="cellIs" priority="137" operator="equal" aboveAverage="0" equalAverage="0" bottom="0" percent="0" rank="0" text="" dxfId="57">
      <formula>"TdTom - Flox"</formula>
    </cfRule>
    <cfRule type="cellIs" priority="138" operator="equal" aboveAverage="0" equalAverage="0" bottom="0" percent="0" rank="0" text="" dxfId="56">
      <formula>"GCaMP3Thy1"</formula>
    </cfRule>
    <cfRule type="cellIs" priority="139" operator="equal" aboveAverage="0" equalAverage="0" bottom="0" percent="0" rank="0" text="" dxfId="55">
      <formula>"FlCx36-KO x PVCre"</formula>
    </cfRule>
    <cfRule type="cellIs" priority="140" operator="equal" aboveAverage="0" equalAverage="0" bottom="0" percent="0" rank="0" text="" dxfId="54">
      <formula>"PVCre?"</formula>
    </cfRule>
    <cfRule type="cellIs" priority="141" operator="equal" aboveAverage="0" equalAverage="0" bottom="0" percent="0" rank="0" text="" dxfId="53">
      <formula>"FLCx36KO_Cx36FLX_PvCre"</formula>
    </cfRule>
    <cfRule type="cellIs" priority="142" operator="equal" aboveAverage="0" equalAverage="0" bottom="0" percent="0" rank="0" text="" dxfId="52">
      <formula>"FlCx36-KO (hom)"</formula>
    </cfRule>
    <cfRule type="cellIs" priority="143" operator="equal" aboveAverage="0" equalAverage="0" bottom="0" percent="0" rank="0" text="" dxfId="51">
      <formula>"Calb2-Cre"</formula>
    </cfRule>
    <cfRule type="cellIs" priority="144" operator="equal" aboveAverage="0" equalAverage="0" bottom="0" percent="0" rank="0" text="" dxfId="50">
      <formula>"PvCre"</formula>
    </cfRule>
  </conditionalFormatting>
  <conditionalFormatting sqref="F80">
    <cfRule type="cellIs" priority="145" operator="lessThan" aboveAverage="0" equalAverage="0" bottom="0" percent="0" rank="0" text="" dxfId="61">
      <formula>2</formula>
    </cfRule>
    <cfRule type="cellIs" priority="146" operator="greaterThan" aboveAverage="0" equalAverage="0" bottom="0" percent="0" rank="0" text="" dxfId="60">
      <formula>5</formula>
    </cfRule>
  </conditionalFormatting>
  <conditionalFormatting sqref="E80">
    <cfRule type="cellIs" priority="147" operator="equal" aboveAverage="0" equalAverage="0" bottom="0" percent="0" rank="0" text="" dxfId="49">
      <formula>"TP"</formula>
    </cfRule>
  </conditionalFormatting>
  <conditionalFormatting sqref="C79:G79 D90:D91">
    <cfRule type="expression" priority="148" aboveAverage="0" equalAverage="0" bottom="0" percent="0" rank="0" text="" dxfId="59">
      <formula>LEN(TRIM(C79))=0</formula>
    </cfRule>
    <cfRule type="cellIs" priority="149" operator="equal" aboveAverage="0" equalAverage="0" bottom="0" percent="0" rank="0" text="" dxfId="58">
      <formula>"Bl6"</formula>
    </cfRule>
    <cfRule type="cellIs" priority="150" operator="equal" aboveAverage="0" equalAverage="0" bottom="0" percent="0" rank="0" text="" dxfId="57">
      <formula>"TdTom - Flox"</formula>
    </cfRule>
    <cfRule type="cellIs" priority="151" operator="equal" aboveAverage="0" equalAverage="0" bottom="0" percent="0" rank="0" text="" dxfId="56">
      <formula>"GCaMP3Thy1"</formula>
    </cfRule>
    <cfRule type="cellIs" priority="152" operator="equal" aboveAverage="0" equalAverage="0" bottom="0" percent="0" rank="0" text="" dxfId="55">
      <formula>"FlCx36-KO x PVCre"</formula>
    </cfRule>
    <cfRule type="cellIs" priority="153" operator="equal" aboveAverage="0" equalAverage="0" bottom="0" percent="0" rank="0" text="" dxfId="54">
      <formula>"PVCre?"</formula>
    </cfRule>
    <cfRule type="cellIs" priority="154" operator="equal" aboveAverage="0" equalAverage="0" bottom="0" percent="0" rank="0" text="" dxfId="53">
      <formula>"FLCx36KO_Cx36FLX_PvCre"</formula>
    </cfRule>
    <cfRule type="cellIs" priority="155" operator="equal" aboveAverage="0" equalAverage="0" bottom="0" percent="0" rank="0" text="" dxfId="52">
      <formula>"FlCx36-KO (hom)"</formula>
    </cfRule>
    <cfRule type="cellIs" priority="156" operator="equal" aboveAverage="0" equalAverage="0" bottom="0" percent="0" rank="0" text="" dxfId="51">
      <formula>"Calb2-Cre"</formula>
    </cfRule>
    <cfRule type="cellIs" priority="157" operator="equal" aboveAverage="0" equalAverage="0" bottom="0" percent="0" rank="0" text="" dxfId="50">
      <formula>"PvCre"</formula>
    </cfRule>
  </conditionalFormatting>
  <conditionalFormatting sqref="F79">
    <cfRule type="cellIs" priority="158" operator="lessThan" aboveAverage="0" equalAverage="0" bottom="0" percent="0" rank="0" text="" dxfId="61">
      <formula>2</formula>
    </cfRule>
    <cfRule type="cellIs" priority="159" operator="greaterThan" aboveAverage="0" equalAverage="0" bottom="0" percent="0" rank="0" text="" dxfId="60">
      <formula>5</formula>
    </cfRule>
  </conditionalFormatting>
  <conditionalFormatting sqref="E79">
    <cfRule type="cellIs" priority="160" operator="equal" aboveAverage="0" equalAverage="0" bottom="0" percent="0" rank="0" text="" dxfId="49">
      <formula>"TP"</formula>
    </cfRule>
  </conditionalFormatting>
  <conditionalFormatting sqref="C78:G78">
    <cfRule type="expression" priority="161" aboveAverage="0" equalAverage="0" bottom="0" percent="0" rank="0" text="" dxfId="59">
      <formula>LEN(TRIM(C78))=0</formula>
    </cfRule>
    <cfRule type="cellIs" priority="162" operator="equal" aboveAverage="0" equalAverage="0" bottom="0" percent="0" rank="0" text="" dxfId="58">
      <formula>"Bl6"</formula>
    </cfRule>
    <cfRule type="cellIs" priority="163" operator="equal" aboveAverage="0" equalAverage="0" bottom="0" percent="0" rank="0" text="" dxfId="57">
      <formula>"TdTom - Flox"</formula>
    </cfRule>
    <cfRule type="cellIs" priority="164" operator="equal" aboveAverage="0" equalAverage="0" bottom="0" percent="0" rank="0" text="" dxfId="56">
      <formula>"GCaMP3Thy1"</formula>
    </cfRule>
    <cfRule type="cellIs" priority="165" operator="equal" aboveAverage="0" equalAverage="0" bottom="0" percent="0" rank="0" text="" dxfId="55">
      <formula>"FlCx36-KO x PVCre"</formula>
    </cfRule>
    <cfRule type="cellIs" priority="166" operator="equal" aboveAverage="0" equalAverage="0" bottom="0" percent="0" rank="0" text="" dxfId="54">
      <formula>"PVCre?"</formula>
    </cfRule>
    <cfRule type="cellIs" priority="167" operator="equal" aboveAverage="0" equalAverage="0" bottom="0" percent="0" rank="0" text="" dxfId="53">
      <formula>"FLCx36KO_Cx36FLX_PvCre"</formula>
    </cfRule>
    <cfRule type="cellIs" priority="168" operator="equal" aboveAverage="0" equalAverage="0" bottom="0" percent="0" rank="0" text="" dxfId="52">
      <formula>"FlCx36-KO (hom)"</formula>
    </cfRule>
    <cfRule type="cellIs" priority="169" operator="equal" aboveAverage="0" equalAverage="0" bottom="0" percent="0" rank="0" text="" dxfId="51">
      <formula>"Calb2-Cre"</formula>
    </cfRule>
    <cfRule type="cellIs" priority="170" operator="equal" aboveAverage="0" equalAverage="0" bottom="0" percent="0" rank="0" text="" dxfId="50">
      <formula>"PvCre"</formula>
    </cfRule>
  </conditionalFormatting>
  <conditionalFormatting sqref="E78">
    <cfRule type="cellIs" priority="171" operator="equal" aboveAverage="0" equalAverage="0" bottom="0" percent="0" rank="0" text="" dxfId="49">
      <formula>"TP"</formula>
    </cfRule>
  </conditionalFormatting>
  <conditionalFormatting sqref="F78">
    <cfRule type="cellIs" priority="172" operator="lessThan" aboveAverage="0" equalAverage="0" bottom="0" percent="0" rank="0" text="" dxfId="61">
      <formula>2</formula>
    </cfRule>
    <cfRule type="cellIs" priority="173" operator="greaterThan" aboveAverage="0" equalAverage="0" bottom="0" percent="0" rank="0" text="" dxfId="60">
      <formula>5</formula>
    </cfRule>
  </conditionalFormatting>
  <conditionalFormatting sqref="E77">
    <cfRule type="cellIs" priority="174" operator="equal" aboveAverage="0" equalAverage="0" bottom="0" percent="0" rank="0" text="" dxfId="49">
      <formula>"TP"</formula>
    </cfRule>
  </conditionalFormatting>
  <conditionalFormatting sqref="F77">
    <cfRule type="cellIs" priority="175" operator="lessThan" aboveAverage="0" equalAverage="0" bottom="0" percent="0" rank="0" text="" dxfId="61">
      <formula>2</formula>
    </cfRule>
    <cfRule type="cellIs" priority="176" operator="greaterThan" aboveAverage="0" equalAverage="0" bottom="0" percent="0" rank="0" text="" dxfId="60">
      <formula>5</formula>
    </cfRule>
  </conditionalFormatting>
  <conditionalFormatting sqref="C77:G77 D94">
    <cfRule type="expression" priority="177" aboveAverage="0" equalAverage="0" bottom="0" percent="0" rank="0" text="" dxfId="59">
      <formula>LEN(TRIM(C77))=0</formula>
    </cfRule>
    <cfRule type="cellIs" priority="178" operator="equal" aboveAverage="0" equalAverage="0" bottom="0" percent="0" rank="0" text="" dxfId="58">
      <formula>"Bl6"</formula>
    </cfRule>
    <cfRule type="cellIs" priority="179" operator="equal" aboveAverage="0" equalAverage="0" bottom="0" percent="0" rank="0" text="" dxfId="57">
      <formula>"TdTom - Flox"</formula>
    </cfRule>
    <cfRule type="cellIs" priority="180" operator="equal" aboveAverage="0" equalAverage="0" bottom="0" percent="0" rank="0" text="" dxfId="56">
      <formula>"GCaMP3Thy1"</formula>
    </cfRule>
    <cfRule type="cellIs" priority="181" operator="equal" aboveAverage="0" equalAverage="0" bottom="0" percent="0" rank="0" text="" dxfId="55">
      <formula>"FlCx36-KO x PVCre"</formula>
    </cfRule>
    <cfRule type="cellIs" priority="182" operator="equal" aboveAverage="0" equalAverage="0" bottom="0" percent="0" rank="0" text="" dxfId="54">
      <formula>"PVCre?"</formula>
    </cfRule>
    <cfRule type="cellIs" priority="183" operator="equal" aboveAverage="0" equalAverage="0" bottom="0" percent="0" rank="0" text="" dxfId="53">
      <formula>"FLCx36KO_Cx36FLX_PvCre"</formula>
    </cfRule>
    <cfRule type="cellIs" priority="184" operator="equal" aboveAverage="0" equalAverage="0" bottom="0" percent="0" rank="0" text="" dxfId="52">
      <formula>"FlCx36-KO (hom)"</formula>
    </cfRule>
    <cfRule type="cellIs" priority="185" operator="equal" aboveAverage="0" equalAverage="0" bottom="0" percent="0" rank="0" text="" dxfId="51">
      <formula>"Calb2-Cre"</formula>
    </cfRule>
    <cfRule type="cellIs" priority="186" operator="equal" aboveAverage="0" equalAverage="0" bottom="0" percent="0" rank="0" text="" dxfId="50">
      <formula>"PvCre"</formula>
    </cfRule>
  </conditionalFormatting>
  <conditionalFormatting sqref="E75">
    <cfRule type="cellIs" priority="187" operator="equal" aboveAverage="0" equalAverage="0" bottom="0" percent="0" rank="0" text="" dxfId="49">
      <formula>"TP"</formula>
    </cfRule>
  </conditionalFormatting>
  <conditionalFormatting sqref="I75">
    <cfRule type="containsText" priority="188" operator="containsText" aboveAverage="0" equalAverage="0" bottom="0" percent="0" rank="0" text="használni" dxfId="62">
      <formula>NOT(ISERROR(SEARCH("használni",I75)))</formula>
    </cfRule>
  </conditionalFormatting>
  <conditionalFormatting sqref="C75:I75 D85">
    <cfRule type="expression" priority="189" aboveAverage="0" equalAverage="0" bottom="0" percent="0" rank="0" text="" dxfId="59">
      <formula>LEN(TRIM(C75))=0</formula>
    </cfRule>
    <cfRule type="cellIs" priority="190" operator="equal" aboveAverage="0" equalAverage="0" bottom="0" percent="0" rank="0" text="" dxfId="58">
      <formula>"Bl6"</formula>
    </cfRule>
    <cfRule type="cellIs" priority="191" operator="equal" aboveAverage="0" equalAverage="0" bottom="0" percent="0" rank="0" text="" dxfId="57">
      <formula>"TdTom - Flox"</formula>
    </cfRule>
    <cfRule type="cellIs" priority="192" operator="equal" aboveAverage="0" equalAverage="0" bottom="0" percent="0" rank="0" text="" dxfId="56">
      <formula>"GCaMP3Thy1"</formula>
    </cfRule>
    <cfRule type="cellIs" priority="193" operator="equal" aboveAverage="0" equalAverage="0" bottom="0" percent="0" rank="0" text="" dxfId="55">
      <formula>"FlCx36-KO x PVCre"</formula>
    </cfRule>
    <cfRule type="cellIs" priority="194" operator="equal" aboveAverage="0" equalAverage="0" bottom="0" percent="0" rank="0" text="" dxfId="54">
      <formula>"PVCre?"</formula>
    </cfRule>
    <cfRule type="cellIs" priority="195" operator="equal" aboveAverage="0" equalAverage="0" bottom="0" percent="0" rank="0" text="" dxfId="53">
      <formula>"FLCx36KO_Cx36FLX_PvCre"</formula>
    </cfRule>
    <cfRule type="cellIs" priority="196" operator="equal" aboveAverage="0" equalAverage="0" bottom="0" percent="0" rank="0" text="" dxfId="52">
      <formula>"FlCx36-KO (hom)"</formula>
    </cfRule>
    <cfRule type="cellIs" priority="197" operator="equal" aboveAverage="0" equalAverage="0" bottom="0" percent="0" rank="0" text="" dxfId="51">
      <formula>"Calb2-Cre"</formula>
    </cfRule>
    <cfRule type="cellIs" priority="198" operator="equal" aboveAverage="0" equalAverage="0" bottom="0" percent="0" rank="0" text="" dxfId="50">
      <formula>"PvCre"</formula>
    </cfRule>
  </conditionalFormatting>
  <conditionalFormatting sqref="F75">
    <cfRule type="cellIs" priority="199" operator="lessThan" aboveAverage="0" equalAverage="0" bottom="0" percent="0" rank="0" text="" dxfId="61">
      <formula>2</formula>
    </cfRule>
    <cfRule type="cellIs" priority="200" operator="greaterThan" aboveAverage="0" equalAverage="0" bottom="0" percent="0" rank="0" text="" dxfId="60">
      <formula>5</formula>
    </cfRule>
  </conditionalFormatting>
  <conditionalFormatting sqref="E74">
    <cfRule type="cellIs" priority="201" operator="equal" aboveAverage="0" equalAverage="0" bottom="0" percent="0" rank="0" text="" dxfId="49">
      <formula>"TP"</formula>
    </cfRule>
  </conditionalFormatting>
  <conditionalFormatting sqref="F74">
    <cfRule type="cellIs" priority="202" operator="lessThan" aboveAverage="0" equalAverage="0" bottom="0" percent="0" rank="0" text="" dxfId="61">
      <formula>2</formula>
    </cfRule>
    <cfRule type="cellIs" priority="203" operator="greaterThan" aboveAverage="0" equalAverage="0" bottom="0" percent="0" rank="0" text="" dxfId="60">
      <formula>5</formula>
    </cfRule>
  </conditionalFormatting>
  <conditionalFormatting sqref="C74 D10 D73:D76 D85 E74:G74">
    <cfRule type="expression" priority="204" aboveAverage="0" equalAverage="0" bottom="0" percent="0" rank="0" text="" dxfId="59">
      <formula>LEN(TRIM(C74))=0</formula>
    </cfRule>
    <cfRule type="cellIs" priority="205" operator="equal" aboveAverage="0" equalAverage="0" bottom="0" percent="0" rank="0" text="" dxfId="58">
      <formula>"Bl6"</formula>
    </cfRule>
    <cfRule type="cellIs" priority="206" operator="equal" aboveAverage="0" equalAverage="0" bottom="0" percent="0" rank="0" text="" dxfId="57">
      <formula>"TdTom - Flox"</formula>
    </cfRule>
    <cfRule type="cellIs" priority="207" operator="equal" aboveAverage="0" equalAverage="0" bottom="0" percent="0" rank="0" text="" dxfId="56">
      <formula>"GCaMP3Thy1"</formula>
    </cfRule>
    <cfRule type="cellIs" priority="208" operator="equal" aboveAverage="0" equalAverage="0" bottom="0" percent="0" rank="0" text="" dxfId="55">
      <formula>"FlCx36-KO x PVCre"</formula>
    </cfRule>
    <cfRule type="cellIs" priority="209" operator="equal" aboveAverage="0" equalAverage="0" bottom="0" percent="0" rank="0" text="" dxfId="54">
      <formula>"PVCre?"</formula>
    </cfRule>
    <cfRule type="cellIs" priority="210" operator="equal" aboveAverage="0" equalAverage="0" bottom="0" percent="0" rank="0" text="" dxfId="53">
      <formula>"FLCx36KO_Cx36FLX_PvCre"</formula>
    </cfRule>
    <cfRule type="cellIs" priority="211" operator="equal" aboveAverage="0" equalAverage="0" bottom="0" percent="0" rank="0" text="" dxfId="52">
      <formula>"FlCx36-KO (hom)"</formula>
    </cfRule>
    <cfRule type="cellIs" priority="212" operator="equal" aboveAverage="0" equalAverage="0" bottom="0" percent="0" rank="0" text="" dxfId="51">
      <formula>"Calb2-Cre"</formula>
    </cfRule>
    <cfRule type="cellIs" priority="213" operator="equal" aboveAverage="0" equalAverage="0" bottom="0" percent="0" rank="0" text="" dxfId="50">
      <formula>"PvCre"</formula>
    </cfRule>
  </conditionalFormatting>
  <conditionalFormatting sqref="E73">
    <cfRule type="cellIs" priority="214" operator="equal" aboveAverage="0" equalAverage="0" bottom="0" percent="0" rank="0" text="" dxfId="49">
      <formula>"TP"</formula>
    </cfRule>
  </conditionalFormatting>
  <conditionalFormatting sqref="C73:G73 D10">
    <cfRule type="expression" priority="215" aboveAverage="0" equalAverage="0" bottom="0" percent="0" rank="0" text="" dxfId="59">
      <formula>LEN(TRIM(C73))=0</formula>
    </cfRule>
    <cfRule type="cellIs" priority="216" operator="equal" aboveAverage="0" equalAverage="0" bottom="0" percent="0" rank="0" text="" dxfId="58">
      <formula>"Bl6"</formula>
    </cfRule>
    <cfRule type="cellIs" priority="217" operator="equal" aboveAverage="0" equalAverage="0" bottom="0" percent="0" rank="0" text="" dxfId="57">
      <formula>"TdTom - Flox"</formula>
    </cfRule>
    <cfRule type="cellIs" priority="218" operator="equal" aboveAverage="0" equalAverage="0" bottom="0" percent="0" rank="0" text="" dxfId="56">
      <formula>"GCaMP3Thy1"</formula>
    </cfRule>
    <cfRule type="cellIs" priority="219" operator="equal" aboveAverage="0" equalAverage="0" bottom="0" percent="0" rank="0" text="" dxfId="55">
      <formula>"FlCx36-KO x PVCre"</formula>
    </cfRule>
    <cfRule type="cellIs" priority="220" operator="equal" aboveAverage="0" equalAverage="0" bottom="0" percent="0" rank="0" text="" dxfId="54">
      <formula>"PVCre?"</formula>
    </cfRule>
    <cfRule type="cellIs" priority="221" operator="equal" aboveAverage="0" equalAverage="0" bottom="0" percent="0" rank="0" text="" dxfId="53">
      <formula>"FLCx36KO_Cx36FLX_PvCre"</formula>
    </cfRule>
    <cfRule type="cellIs" priority="222" operator="equal" aboveAverage="0" equalAverage="0" bottom="0" percent="0" rank="0" text="" dxfId="52">
      <formula>"FlCx36-KO (hom)"</formula>
    </cfRule>
    <cfRule type="cellIs" priority="223" operator="equal" aboveAverage="0" equalAverage="0" bottom="0" percent="0" rank="0" text="" dxfId="51">
      <formula>"Calb2-Cre"</formula>
    </cfRule>
    <cfRule type="cellIs" priority="224" operator="equal" aboveAverage="0" equalAverage="0" bottom="0" percent="0" rank="0" text="" dxfId="50">
      <formula>"PvCre"</formula>
    </cfRule>
  </conditionalFormatting>
  <conditionalFormatting sqref="F73">
    <cfRule type="cellIs" priority="225" operator="lessThan" aboveAverage="0" equalAverage="0" bottom="0" percent="0" rank="0" text="" dxfId="61">
      <formula>2</formula>
    </cfRule>
    <cfRule type="cellIs" priority="226" operator="greaterThan" aboveAverage="0" equalAverage="0" bottom="0" percent="0" rank="0" text="" dxfId="60">
      <formula>5</formula>
    </cfRule>
  </conditionalFormatting>
  <conditionalFormatting sqref="E72">
    <cfRule type="cellIs" priority="227" operator="equal" aboveAverage="0" equalAverage="0" bottom="0" percent="0" rank="0" text="" dxfId="49">
      <formula>"TP"</formula>
    </cfRule>
  </conditionalFormatting>
  <conditionalFormatting sqref="F72">
    <cfRule type="cellIs" priority="228" operator="lessThan" aboveAverage="0" equalAverage="0" bottom="0" percent="0" rank="0" text="" dxfId="61">
      <formula>2</formula>
    </cfRule>
    <cfRule type="cellIs" priority="229" operator="greaterThan" aboveAverage="0" equalAverage="0" bottom="0" percent="0" rank="0" text="" dxfId="60">
      <formula>5</formula>
    </cfRule>
  </conditionalFormatting>
  <conditionalFormatting sqref="C72 D70:D73 D83:D84 E72:G72">
    <cfRule type="expression" priority="230" aboveAverage="0" equalAverage="0" bottom="0" percent="0" rank="0" text="" dxfId="59">
      <formula>LEN(TRIM(C72))=0</formula>
    </cfRule>
    <cfRule type="cellIs" priority="231" operator="equal" aboveAverage="0" equalAverage="0" bottom="0" percent="0" rank="0" text="" dxfId="58">
      <formula>"Bl6"</formula>
    </cfRule>
    <cfRule type="cellIs" priority="232" operator="equal" aboveAverage="0" equalAverage="0" bottom="0" percent="0" rank="0" text="" dxfId="57">
      <formula>"TdTom - Flox"</formula>
    </cfRule>
    <cfRule type="cellIs" priority="233" operator="equal" aboveAverage="0" equalAverage="0" bottom="0" percent="0" rank="0" text="" dxfId="56">
      <formula>"GCaMP3Thy1"</formula>
    </cfRule>
    <cfRule type="cellIs" priority="234" operator="equal" aboveAverage="0" equalAverage="0" bottom="0" percent="0" rank="0" text="" dxfId="55">
      <formula>"FlCx36-KO x PVCre"</formula>
    </cfRule>
    <cfRule type="cellIs" priority="235" operator="equal" aboveAverage="0" equalAverage="0" bottom="0" percent="0" rank="0" text="" dxfId="54">
      <formula>"PVCre?"</formula>
    </cfRule>
    <cfRule type="cellIs" priority="236" operator="equal" aboveAverage="0" equalAverage="0" bottom="0" percent="0" rank="0" text="" dxfId="53">
      <formula>"FLCx36KO_Cx36FLX_PvCre"</formula>
    </cfRule>
    <cfRule type="cellIs" priority="237" operator="equal" aboveAverage="0" equalAverage="0" bottom="0" percent="0" rank="0" text="" dxfId="52">
      <formula>"FlCx36-KO (hom)"</formula>
    </cfRule>
    <cfRule type="cellIs" priority="238" operator="equal" aboveAverage="0" equalAverage="0" bottom="0" percent="0" rank="0" text="" dxfId="51">
      <formula>"Calb2-Cre"</formula>
    </cfRule>
    <cfRule type="cellIs" priority="239" operator="equal" aboveAverage="0" equalAverage="0" bottom="0" percent="0" rank="0" text="" dxfId="50">
      <formula>"PvCre"</formula>
    </cfRule>
  </conditionalFormatting>
  <conditionalFormatting sqref="F70">
    <cfRule type="cellIs" priority="240" operator="lessThan" aboveAverage="0" equalAverage="0" bottom="0" percent="0" rank="0" text="" dxfId="61">
      <formula>2</formula>
    </cfRule>
  </conditionalFormatting>
  <conditionalFormatting sqref="E70:F70">
    <cfRule type="cellIs" priority="241" operator="greaterThan" aboveAverage="0" equalAverage="0" bottom="0" percent="0" rank="0" text="" dxfId="60">
      <formula>5</formula>
    </cfRule>
  </conditionalFormatting>
  <conditionalFormatting sqref="C70 E70:I70">
    <cfRule type="expression" priority="242" aboveAverage="0" equalAverage="0" bottom="0" percent="0" rank="0" text="" dxfId="59">
      <formula>LEN(TRIM(C70))=0</formula>
    </cfRule>
    <cfRule type="cellIs" priority="243" operator="equal" aboveAverage="0" equalAverage="0" bottom="0" percent="0" rank="0" text="" dxfId="58">
      <formula>"Bl6"</formula>
    </cfRule>
    <cfRule type="cellIs" priority="244" operator="equal" aboveAverage="0" equalAverage="0" bottom="0" percent="0" rank="0" text="" dxfId="57">
      <formula>"TdTom - Flox"</formula>
    </cfRule>
    <cfRule type="cellIs" priority="245" operator="equal" aboveAverage="0" equalAverage="0" bottom="0" percent="0" rank="0" text="" dxfId="56">
      <formula>"GCaMP3Thy1"</formula>
    </cfRule>
    <cfRule type="cellIs" priority="246" operator="equal" aboveAverage="0" equalAverage="0" bottom="0" percent="0" rank="0" text="" dxfId="55">
      <formula>"FlCx36-KO x PVCre"</formula>
    </cfRule>
    <cfRule type="cellIs" priority="247" operator="equal" aboveAverage="0" equalAverage="0" bottom="0" percent="0" rank="0" text="" dxfId="54">
      <formula>"PVCre?"</formula>
    </cfRule>
    <cfRule type="cellIs" priority="248" operator="equal" aboveAverage="0" equalAverage="0" bottom="0" percent="0" rank="0" text="" dxfId="53">
      <formula>"FLCx36KO_Cx36FLX_PvCre"</formula>
    </cfRule>
    <cfRule type="cellIs" priority="249" operator="equal" aboveAverage="0" equalAverage="0" bottom="0" percent="0" rank="0" text="" dxfId="52">
      <formula>"FlCx36-KO (hom)"</formula>
    </cfRule>
    <cfRule type="cellIs" priority="250" operator="equal" aboveAverage="0" equalAverage="0" bottom="0" percent="0" rank="0" text="" dxfId="51">
      <formula>"Calb2-Cre"</formula>
    </cfRule>
    <cfRule type="cellIs" priority="251" operator="equal" aboveAverage="0" equalAverage="0" bottom="0" percent="0" rank="0" text="" dxfId="50">
      <formula>"PvCre"</formula>
    </cfRule>
  </conditionalFormatting>
  <conditionalFormatting sqref="E70">
    <cfRule type="cellIs" priority="252" operator="equal" aboveAverage="0" equalAverage="0" bottom="0" percent="0" rank="0" text="" dxfId="49">
      <formula>"TP"</formula>
    </cfRule>
  </conditionalFormatting>
  <conditionalFormatting sqref="I70">
    <cfRule type="containsText" priority="253" operator="containsText" aboveAverage="0" equalAverage="0" bottom="0" percent="0" rank="0" text="használni" dxfId="62">
      <formula>NOT(ISERROR(SEARCH("használni",I70)))</formula>
    </cfRule>
  </conditionalFormatting>
  <conditionalFormatting sqref="E69">
    <cfRule type="cellIs" priority="254" operator="equal" aboveAverage="0" equalAverage="0" bottom="0" percent="0" rank="0" text="" dxfId="49">
      <formula>"TP"</formula>
    </cfRule>
  </conditionalFormatting>
  <conditionalFormatting sqref="F69">
    <cfRule type="cellIs" priority="255" operator="lessThan" aboveAverage="0" equalAverage="0" bottom="0" percent="0" rank="0" text="" dxfId="61">
      <formula>2</formula>
    </cfRule>
    <cfRule type="cellIs" priority="256" operator="greaterThan" aboveAverage="0" equalAverage="0" bottom="0" percent="0" rank="0" text="" dxfId="60">
      <formula>5</formula>
    </cfRule>
  </conditionalFormatting>
  <conditionalFormatting sqref="C69 D10 D20 D27 D65 D70:D74 D76 D79 D83:D84 E69:H69">
    <cfRule type="expression" priority="257" aboveAverage="0" equalAverage="0" bottom="0" percent="0" rank="0" text="" dxfId="59">
      <formula>LEN(TRIM(C69))=0</formula>
    </cfRule>
    <cfRule type="cellIs" priority="258" operator="equal" aboveAverage="0" equalAverage="0" bottom="0" percent="0" rank="0" text="" dxfId="58">
      <formula>"Bl6"</formula>
    </cfRule>
    <cfRule type="cellIs" priority="259" operator="equal" aboveAverage="0" equalAverage="0" bottom="0" percent="0" rank="0" text="" dxfId="57">
      <formula>"TdTom - Flox"</formula>
    </cfRule>
    <cfRule type="cellIs" priority="260" operator="equal" aboveAverage="0" equalAverage="0" bottom="0" percent="0" rank="0" text="" dxfId="56">
      <formula>"GCaMP3Thy1"</formula>
    </cfRule>
    <cfRule type="cellIs" priority="261" operator="equal" aboveAverage="0" equalAverage="0" bottom="0" percent="0" rank="0" text="" dxfId="55">
      <formula>"FlCx36-KO x PVCre"</formula>
    </cfRule>
    <cfRule type="cellIs" priority="262" operator="equal" aboveAverage="0" equalAverage="0" bottom="0" percent="0" rank="0" text="" dxfId="54">
      <formula>"PVCre?"</formula>
    </cfRule>
    <cfRule type="cellIs" priority="263" operator="equal" aboveAverage="0" equalAverage="0" bottom="0" percent="0" rank="0" text="" dxfId="53">
      <formula>"FLCx36KO_Cx36FLX_PvCre"</formula>
    </cfRule>
    <cfRule type="cellIs" priority="264" operator="equal" aboveAverage="0" equalAverage="0" bottom="0" percent="0" rank="0" text="" dxfId="52">
      <formula>"FlCx36-KO (hom)"</formula>
    </cfRule>
    <cfRule type="cellIs" priority="265" operator="equal" aboveAverage="0" equalAverage="0" bottom="0" percent="0" rank="0" text="" dxfId="51">
      <formula>"Calb2-Cre"</formula>
    </cfRule>
    <cfRule type="cellIs" priority="266" operator="equal" aboveAverage="0" equalAverage="0" bottom="0" percent="0" rank="0" text="" dxfId="50">
      <formula>"PvCre"</formula>
    </cfRule>
  </conditionalFormatting>
  <conditionalFormatting sqref="F68">
    <cfRule type="cellIs" priority="267" operator="lessThan" aboveAverage="0" equalAverage="0" bottom="0" percent="0" rank="0" text="" dxfId="61">
      <formula>2</formula>
    </cfRule>
    <cfRule type="cellIs" priority="268" operator="greaterThan" aboveAverage="0" equalAverage="0" bottom="0" percent="0" rank="0" text="" dxfId="60">
      <formula>5</formula>
    </cfRule>
  </conditionalFormatting>
  <conditionalFormatting sqref="C68:G68 E83">
    <cfRule type="expression" priority="269" aboveAverage="0" equalAverage="0" bottom="0" percent="0" rank="0" text="" dxfId="59">
      <formula>LEN(TRIM(C68))=0</formula>
    </cfRule>
    <cfRule type="cellIs" priority="270" operator="equal" aboveAverage="0" equalAverage="0" bottom="0" percent="0" rank="0" text="" dxfId="58">
      <formula>"Bl6"</formula>
    </cfRule>
    <cfRule type="cellIs" priority="271" operator="equal" aboveAverage="0" equalAverage="0" bottom="0" percent="0" rank="0" text="" dxfId="57">
      <formula>"TdTom - Flox"</formula>
    </cfRule>
    <cfRule type="cellIs" priority="272" operator="equal" aboveAverage="0" equalAverage="0" bottom="0" percent="0" rank="0" text="" dxfId="56">
      <formula>"GCaMP3Thy1"</formula>
    </cfRule>
    <cfRule type="cellIs" priority="273" operator="equal" aboveAverage="0" equalAverage="0" bottom="0" percent="0" rank="0" text="" dxfId="55">
      <formula>"FlCx36-KO x PVCre"</formula>
    </cfRule>
    <cfRule type="cellIs" priority="274" operator="equal" aboveAverage="0" equalAverage="0" bottom="0" percent="0" rank="0" text="" dxfId="54">
      <formula>"PVCre?"</formula>
    </cfRule>
    <cfRule type="cellIs" priority="275" operator="equal" aboveAverage="0" equalAverage="0" bottom="0" percent="0" rank="0" text="" dxfId="53">
      <formula>"FLCx36KO_Cx36FLX_PvCre"</formula>
    </cfRule>
    <cfRule type="cellIs" priority="276" operator="equal" aboveAverage="0" equalAverage="0" bottom="0" percent="0" rank="0" text="" dxfId="52">
      <formula>"FlCx36-KO (hom)"</formula>
    </cfRule>
    <cfRule type="cellIs" priority="277" operator="equal" aboveAverage="0" equalAverage="0" bottom="0" percent="0" rank="0" text="" dxfId="51">
      <formula>"Calb2-Cre"</formula>
    </cfRule>
    <cfRule type="cellIs" priority="278" operator="equal" aboveAverage="0" equalAverage="0" bottom="0" percent="0" rank="0" text="" dxfId="50">
      <formula>"PvCre"</formula>
    </cfRule>
  </conditionalFormatting>
  <conditionalFormatting sqref="E68 E83">
    <cfRule type="cellIs" priority="279" operator="equal" aboveAverage="0" equalAverage="0" bottom="0" percent="0" rank="0" text="" dxfId="49">
      <formula>"TP"</formula>
    </cfRule>
  </conditionalFormatting>
  <conditionalFormatting sqref="F67">
    <cfRule type="cellIs" priority="280" operator="lessThan" aboveAverage="0" equalAverage="0" bottom="0" percent="0" rank="0" text="" dxfId="61">
      <formula>2</formula>
    </cfRule>
    <cfRule type="cellIs" priority="281" operator="greaterThan" aboveAverage="0" equalAverage="0" bottom="0" percent="0" rank="0" text="" dxfId="60">
      <formula>5</formula>
    </cfRule>
  </conditionalFormatting>
  <conditionalFormatting sqref="E67 E71">
    <cfRule type="cellIs" priority="282" operator="equal" aboveAverage="0" equalAverage="0" bottom="0" percent="0" rank="0" text="" dxfId="49">
      <formula>"TP"</formula>
    </cfRule>
  </conditionalFormatting>
  <conditionalFormatting sqref="C67:G67 D10 D25 D70:D73 D76 D83:D84 E71">
    <cfRule type="expression" priority="283" aboveAverage="0" equalAverage="0" bottom="0" percent="0" rank="0" text="" dxfId="59">
      <formula>LEN(TRIM(C67))=0</formula>
    </cfRule>
    <cfRule type="cellIs" priority="284" operator="equal" aboveAverage="0" equalAverage="0" bottom="0" percent="0" rank="0" text="" dxfId="58">
      <formula>"Bl6"</formula>
    </cfRule>
    <cfRule type="cellIs" priority="285" operator="equal" aboveAverage="0" equalAverage="0" bottom="0" percent="0" rank="0" text="" dxfId="57">
      <formula>"TdTom - Flox"</formula>
    </cfRule>
    <cfRule type="cellIs" priority="286" operator="equal" aboveAverage="0" equalAverage="0" bottom="0" percent="0" rank="0" text="" dxfId="56">
      <formula>"GCaMP3Thy1"</formula>
    </cfRule>
    <cfRule type="cellIs" priority="287" operator="equal" aboveAverage="0" equalAverage="0" bottom="0" percent="0" rank="0" text="" dxfId="55">
      <formula>"FlCx36-KO x PVCre"</formula>
    </cfRule>
    <cfRule type="cellIs" priority="288" operator="equal" aboveAverage="0" equalAverage="0" bottom="0" percent="0" rank="0" text="" dxfId="54">
      <formula>"PVCre?"</formula>
    </cfRule>
    <cfRule type="cellIs" priority="289" operator="equal" aboveAverage="0" equalAverage="0" bottom="0" percent="0" rank="0" text="" dxfId="53">
      <formula>"FLCx36KO_Cx36FLX_PvCre"</formula>
    </cfRule>
    <cfRule type="cellIs" priority="290" operator="equal" aboveAverage="0" equalAverage="0" bottom="0" percent="0" rank="0" text="" dxfId="52">
      <formula>"FlCx36-KO (hom)"</formula>
    </cfRule>
    <cfRule type="cellIs" priority="291" operator="equal" aboveAverage="0" equalAverage="0" bottom="0" percent="0" rank="0" text="" dxfId="51">
      <formula>"Calb2-Cre"</formula>
    </cfRule>
    <cfRule type="cellIs" priority="292" operator="equal" aboveAverage="0" equalAverage="0" bottom="0" percent="0" rank="0" text="" dxfId="50">
      <formula>"PvCre"</formula>
    </cfRule>
  </conditionalFormatting>
  <conditionalFormatting sqref="E66">
    <cfRule type="cellIs" priority="293" operator="equal" aboveAverage="0" equalAverage="0" bottom="0" percent="0" rank="0" text="" dxfId="49">
      <formula>"TP"</formula>
    </cfRule>
  </conditionalFormatting>
  <conditionalFormatting sqref="C66:G66 D70:D73 D83:D84 D89:D91">
    <cfRule type="expression" priority="294" aboveAverage="0" equalAverage="0" bottom="0" percent="0" rank="0" text="" dxfId="59">
      <formula>LEN(TRIM(C66))=0</formula>
    </cfRule>
    <cfRule type="cellIs" priority="295" operator="equal" aboveAverage="0" equalAverage="0" bottom="0" percent="0" rank="0" text="" dxfId="58">
      <formula>"Bl6"</formula>
    </cfRule>
    <cfRule type="cellIs" priority="296" operator="equal" aboveAverage="0" equalAverage="0" bottom="0" percent="0" rank="0" text="" dxfId="57">
      <formula>"TdTom - Flox"</formula>
    </cfRule>
    <cfRule type="cellIs" priority="297" operator="equal" aboveAverage="0" equalAverage="0" bottom="0" percent="0" rank="0" text="" dxfId="56">
      <formula>"GCaMP3Thy1"</formula>
    </cfRule>
    <cfRule type="cellIs" priority="298" operator="equal" aboveAverage="0" equalAverage="0" bottom="0" percent="0" rank="0" text="" dxfId="55">
      <formula>"FlCx36-KO x PVCre"</formula>
    </cfRule>
    <cfRule type="cellIs" priority="299" operator="equal" aboveAverage="0" equalAverage="0" bottom="0" percent="0" rank="0" text="" dxfId="54">
      <formula>"PVCre?"</formula>
    </cfRule>
    <cfRule type="cellIs" priority="300" operator="equal" aboveAverage="0" equalAverage="0" bottom="0" percent="0" rank="0" text="" dxfId="53">
      <formula>"FLCx36KO_Cx36FLX_PvCre"</formula>
    </cfRule>
    <cfRule type="cellIs" priority="301" operator="equal" aboveAverage="0" equalAverage="0" bottom="0" percent="0" rank="0" text="" dxfId="52">
      <formula>"FlCx36-KO (hom)"</formula>
    </cfRule>
    <cfRule type="cellIs" priority="302" operator="equal" aboveAverage="0" equalAverage="0" bottom="0" percent="0" rank="0" text="" dxfId="51">
      <formula>"Calb2-Cre"</formula>
    </cfRule>
    <cfRule type="cellIs" priority="303" operator="equal" aboveAverage="0" equalAverage="0" bottom="0" percent="0" rank="0" text="" dxfId="50">
      <formula>"PvCre"</formula>
    </cfRule>
  </conditionalFormatting>
  <conditionalFormatting sqref="F66">
    <cfRule type="cellIs" priority="304" operator="lessThan" aboveAverage="0" equalAverage="0" bottom="0" percent="0" rank="0" text="" dxfId="61">
      <formula>2</formula>
    </cfRule>
    <cfRule type="cellIs" priority="305" operator="greaterThan" aboveAverage="0" equalAverage="0" bottom="0" percent="0" rank="0" text="" dxfId="60">
      <formula>5</formula>
    </cfRule>
  </conditionalFormatting>
  <conditionalFormatting sqref="F65">
    <cfRule type="cellIs" priority="306" operator="lessThan" aboveAverage="0" equalAverage="0" bottom="0" percent="0" rank="0" text="" dxfId="61">
      <formula>2</formula>
    </cfRule>
    <cfRule type="cellIs" priority="307" operator="greaterThan" aboveAverage="0" equalAverage="0" bottom="0" percent="0" rank="0" text="" dxfId="60">
      <formula>5</formula>
    </cfRule>
  </conditionalFormatting>
  <conditionalFormatting sqref="C65:G65 D10 D20 D27 D70:D74 D76 D79 D83:D84">
    <cfRule type="expression" priority="308" aboveAverage="0" equalAverage="0" bottom="0" percent="0" rank="0" text="" dxfId="59">
      <formula>LEN(TRIM(C65))=0</formula>
    </cfRule>
    <cfRule type="cellIs" priority="309" operator="equal" aboveAverage="0" equalAverage="0" bottom="0" percent="0" rank="0" text="" dxfId="58">
      <formula>"Bl6"</formula>
    </cfRule>
    <cfRule type="cellIs" priority="310" operator="equal" aboveAverage="0" equalAverage="0" bottom="0" percent="0" rank="0" text="" dxfId="57">
      <formula>"TdTom - Flox"</formula>
    </cfRule>
    <cfRule type="cellIs" priority="311" operator="equal" aboveAverage="0" equalAverage="0" bottom="0" percent="0" rank="0" text="" dxfId="56">
      <formula>"GCaMP3Thy1"</formula>
    </cfRule>
    <cfRule type="cellIs" priority="312" operator="equal" aboveAverage="0" equalAverage="0" bottom="0" percent="0" rank="0" text="" dxfId="55">
      <formula>"FlCx36-KO x PVCre"</formula>
    </cfRule>
    <cfRule type="cellIs" priority="313" operator="equal" aboveAverage="0" equalAverage="0" bottom="0" percent="0" rank="0" text="" dxfId="54">
      <formula>"PVCre?"</formula>
    </cfRule>
    <cfRule type="cellIs" priority="314" operator="equal" aboveAverage="0" equalAverage="0" bottom="0" percent="0" rank="0" text="" dxfId="53">
      <formula>"FLCx36KO_Cx36FLX_PvCre"</formula>
    </cfRule>
    <cfRule type="cellIs" priority="315" operator="equal" aboveAverage="0" equalAverage="0" bottom="0" percent="0" rank="0" text="" dxfId="52">
      <formula>"FlCx36-KO (hom)"</formula>
    </cfRule>
    <cfRule type="cellIs" priority="316" operator="equal" aboveAverage="0" equalAverage="0" bottom="0" percent="0" rank="0" text="" dxfId="51">
      <formula>"Calb2-Cre"</formula>
    </cfRule>
    <cfRule type="cellIs" priority="317" operator="equal" aboveAverage="0" equalAverage="0" bottom="0" percent="0" rank="0" text="" dxfId="50">
      <formula>"PvCre"</formula>
    </cfRule>
  </conditionalFormatting>
  <conditionalFormatting sqref="E65">
    <cfRule type="cellIs" priority="318" operator="equal" aboveAverage="0" equalAverage="0" bottom="0" percent="0" rank="0" text="" dxfId="49">
      <formula>"TP"</formula>
    </cfRule>
  </conditionalFormatting>
  <conditionalFormatting sqref="E64:E65">
    <cfRule type="cellIs" priority="319" operator="equal" aboveAverage="0" equalAverage="0" bottom="0" percent="0" rank="0" text="" dxfId="49">
      <formula>"TP"</formula>
    </cfRule>
  </conditionalFormatting>
  <conditionalFormatting sqref="C64:D64 E64:E65 F64:G64">
    <cfRule type="expression" priority="320" aboveAverage="0" equalAverage="0" bottom="0" percent="0" rank="0" text="" dxfId="59">
      <formula>LEN(TRIM(C64))=0</formula>
    </cfRule>
    <cfRule type="cellIs" priority="321" operator="equal" aboveAverage="0" equalAverage="0" bottom="0" percent="0" rank="0" text="" dxfId="58">
      <formula>"Bl6"</formula>
    </cfRule>
    <cfRule type="cellIs" priority="322" operator="equal" aboveAverage="0" equalAverage="0" bottom="0" percent="0" rank="0" text="" dxfId="57">
      <formula>"TdTom - Flox"</formula>
    </cfRule>
    <cfRule type="cellIs" priority="323" operator="equal" aboveAverage="0" equalAverage="0" bottom="0" percent="0" rank="0" text="" dxfId="56">
      <formula>"GCaMP3Thy1"</formula>
    </cfRule>
    <cfRule type="cellIs" priority="324" operator="equal" aboveAverage="0" equalAverage="0" bottom="0" percent="0" rank="0" text="" dxfId="55">
      <formula>"FlCx36-KO x PVCre"</formula>
    </cfRule>
    <cfRule type="cellIs" priority="325" operator="equal" aboveAverage="0" equalAverage="0" bottom="0" percent="0" rank="0" text="" dxfId="54">
      <formula>"PVCre?"</formula>
    </cfRule>
    <cfRule type="cellIs" priority="326" operator="equal" aboveAverage="0" equalAverage="0" bottom="0" percent="0" rank="0" text="" dxfId="53">
      <formula>"FLCx36KO_Cx36FLX_PvCre"</formula>
    </cfRule>
    <cfRule type="cellIs" priority="327" operator="equal" aboveAverage="0" equalAverage="0" bottom="0" percent="0" rank="0" text="" dxfId="52">
      <formula>"FlCx36-KO (hom)"</formula>
    </cfRule>
    <cfRule type="cellIs" priority="328" operator="equal" aboveAverage="0" equalAverage="0" bottom="0" percent="0" rank="0" text="" dxfId="51">
      <formula>"Calb2-Cre"</formula>
    </cfRule>
    <cfRule type="cellIs" priority="329" operator="equal" aboveAverage="0" equalAverage="0" bottom="0" percent="0" rank="0" text="" dxfId="50">
      <formula>"PvCre"</formula>
    </cfRule>
  </conditionalFormatting>
  <conditionalFormatting sqref="F64">
    <cfRule type="cellIs" priority="330" operator="lessThan" aboveAverage="0" equalAverage="0" bottom="0" percent="0" rank="0" text="" dxfId="61">
      <formula>2</formula>
    </cfRule>
    <cfRule type="cellIs" priority="331" operator="greaterThan" aboveAverage="0" equalAverage="0" bottom="0" percent="0" rank="0" text="" dxfId="60">
      <formula>5</formula>
    </cfRule>
  </conditionalFormatting>
  <conditionalFormatting sqref="E63:E65">
    <cfRule type="cellIs" priority="332" operator="equal" aboveAverage="0" equalAverage="0" bottom="0" percent="0" rank="0" text="" dxfId="49">
      <formula>"TP"</formula>
    </cfRule>
  </conditionalFormatting>
  <conditionalFormatting sqref="I63">
    <cfRule type="containsText" priority="333" operator="containsText" aboveAverage="0" equalAverage="0" bottom="0" percent="0" rank="0" text="használni" dxfId="62">
      <formula>NOT(ISERROR(SEARCH("használni",I63)))</formula>
    </cfRule>
  </conditionalFormatting>
  <conditionalFormatting sqref="C63 D54:D56 D63:D64 E63:E65 F63:I63">
    <cfRule type="expression" priority="334" aboveAverage="0" equalAverage="0" bottom="0" percent="0" rank="0" text="" dxfId="59">
      <formula>LEN(TRIM(C63))=0</formula>
    </cfRule>
    <cfRule type="cellIs" priority="335" operator="equal" aboveAverage="0" equalAverage="0" bottom="0" percent="0" rank="0" text="" dxfId="58">
      <formula>"Bl6"</formula>
    </cfRule>
    <cfRule type="cellIs" priority="336" operator="equal" aboveAverage="0" equalAverage="0" bottom="0" percent="0" rank="0" text="" dxfId="57">
      <formula>"TdTom - Flox"</formula>
    </cfRule>
    <cfRule type="cellIs" priority="337" operator="equal" aboveAverage="0" equalAverage="0" bottom="0" percent="0" rank="0" text="" dxfId="56">
      <formula>"GCaMP3Thy1"</formula>
    </cfRule>
    <cfRule type="cellIs" priority="338" operator="equal" aboveAverage="0" equalAverage="0" bottom="0" percent="0" rank="0" text="" dxfId="55">
      <formula>"FlCx36-KO x PVCre"</formula>
    </cfRule>
    <cfRule type="cellIs" priority="339" operator="equal" aboveAverage="0" equalAverage="0" bottom="0" percent="0" rank="0" text="" dxfId="54">
      <formula>"PVCre?"</formula>
    </cfRule>
    <cfRule type="cellIs" priority="340" operator="equal" aboveAverage="0" equalAverage="0" bottom="0" percent="0" rank="0" text="" dxfId="53">
      <formula>"FLCx36KO_Cx36FLX_PvCre"</formula>
    </cfRule>
    <cfRule type="cellIs" priority="341" operator="equal" aboveAverage="0" equalAverage="0" bottom="0" percent="0" rank="0" text="" dxfId="52">
      <formula>"FlCx36-KO (hom)"</formula>
    </cfRule>
    <cfRule type="cellIs" priority="342" operator="equal" aboveAverage="0" equalAverage="0" bottom="0" percent="0" rank="0" text="" dxfId="51">
      <formula>"Calb2-Cre"</formula>
    </cfRule>
    <cfRule type="cellIs" priority="343" operator="equal" aboveAverage="0" equalAverage="0" bottom="0" percent="0" rank="0" text="" dxfId="50">
      <formula>"PvCre"</formula>
    </cfRule>
  </conditionalFormatting>
  <conditionalFormatting sqref="F63">
    <cfRule type="cellIs" priority="344" operator="lessThan" aboveAverage="0" equalAverage="0" bottom="0" percent="0" rank="0" text="" dxfId="61">
      <formula>2</formula>
    </cfRule>
    <cfRule type="cellIs" priority="345" operator="greaterThan" aboveAverage="0" equalAverage="0" bottom="0" percent="0" rank="0" text="" dxfId="60">
      <formula>5</formula>
    </cfRule>
  </conditionalFormatting>
  <conditionalFormatting sqref="E62:E65">
    <cfRule type="cellIs" priority="346" operator="equal" aboveAverage="0" equalAverage="0" bottom="0" percent="0" rank="0" text="" dxfId="49">
      <formula>"TP"</formula>
    </cfRule>
  </conditionalFormatting>
  <conditionalFormatting sqref="I62">
    <cfRule type="containsText" priority="347" operator="containsText" aboveAverage="0" equalAverage="0" bottom="0" percent="0" rank="0" text="használni" dxfId="62">
      <formula>NOT(ISERROR(SEARCH("használni",I62)))</formula>
    </cfRule>
  </conditionalFormatting>
  <conditionalFormatting sqref="C62 D39:D40 D57 D61:D62 D66 D80:D81 E62:E65 F62:I62">
    <cfRule type="expression" priority="348" aboveAverage="0" equalAverage="0" bottom="0" percent="0" rank="0" text="" dxfId="59">
      <formula>LEN(TRIM(C62))=0</formula>
    </cfRule>
    <cfRule type="cellIs" priority="349" operator="equal" aboveAverage="0" equalAverage="0" bottom="0" percent="0" rank="0" text="" dxfId="58">
      <formula>"Bl6"</formula>
    </cfRule>
    <cfRule type="cellIs" priority="350" operator="equal" aboveAverage="0" equalAverage="0" bottom="0" percent="0" rank="0" text="" dxfId="57">
      <formula>"TdTom - Flox"</formula>
    </cfRule>
    <cfRule type="cellIs" priority="351" operator="equal" aboveAverage="0" equalAverage="0" bottom="0" percent="0" rank="0" text="" dxfId="56">
      <formula>"GCaMP3Thy1"</formula>
    </cfRule>
    <cfRule type="cellIs" priority="352" operator="equal" aboveAverage="0" equalAverage="0" bottom="0" percent="0" rank="0" text="" dxfId="55">
      <formula>"FlCx36-KO x PVCre"</formula>
    </cfRule>
    <cfRule type="cellIs" priority="353" operator="equal" aboveAverage="0" equalAverage="0" bottom="0" percent="0" rank="0" text="" dxfId="54">
      <formula>"PVCre?"</formula>
    </cfRule>
    <cfRule type="cellIs" priority="354" operator="equal" aboveAverage="0" equalAverage="0" bottom="0" percent="0" rank="0" text="" dxfId="53">
      <formula>"FLCx36KO_Cx36FLX_PvCre"</formula>
    </cfRule>
    <cfRule type="cellIs" priority="355" operator="equal" aboveAverage="0" equalAverage="0" bottom="0" percent="0" rank="0" text="" dxfId="52">
      <formula>"FlCx36-KO (hom)"</formula>
    </cfRule>
    <cfRule type="cellIs" priority="356" operator="equal" aboveAverage="0" equalAverage="0" bottom="0" percent="0" rank="0" text="" dxfId="51">
      <formula>"Calb2-Cre"</formula>
    </cfRule>
    <cfRule type="cellIs" priority="357" operator="equal" aboveAverage="0" equalAverage="0" bottom="0" percent="0" rank="0" text="" dxfId="50">
      <formula>"PvCre"</formula>
    </cfRule>
  </conditionalFormatting>
  <conditionalFormatting sqref="F62">
    <cfRule type="cellIs" priority="358" operator="lessThan" aboveAverage="0" equalAverage="0" bottom="0" percent="0" rank="0" text="" dxfId="61">
      <formula>2</formula>
    </cfRule>
    <cfRule type="cellIs" priority="359" operator="greaterThan" aboveAverage="0" equalAverage="0" bottom="0" percent="0" rank="0" text="" dxfId="60">
      <formula>5</formula>
    </cfRule>
  </conditionalFormatting>
  <conditionalFormatting sqref="C60:I60 D64 D68">
    <cfRule type="cellIs" priority="360" operator="equal" aboveAverage="0" equalAverage="0" bottom="0" percent="0" rank="0" text="" dxfId="50">
      <formula>"PvCre"</formula>
    </cfRule>
    <cfRule type="cellIs" priority="361" operator="equal" aboveAverage="0" equalAverage="0" bottom="0" percent="0" rank="0" text="" dxfId="51">
      <formula>"Calb2-Cre"</formula>
    </cfRule>
    <cfRule type="cellIs" priority="362" operator="equal" aboveAverage="0" equalAverage="0" bottom="0" percent="0" rank="0" text="" dxfId="52">
      <formula>"FlCx36-KO (hom)"</formula>
    </cfRule>
    <cfRule type="cellIs" priority="363" operator="equal" aboveAverage="0" equalAverage="0" bottom="0" percent="0" rank="0" text="" dxfId="53">
      <formula>"FLCx36KO_Cx36FLX_PvCre"</formula>
    </cfRule>
    <cfRule type="cellIs" priority="364" operator="equal" aboveAverage="0" equalAverage="0" bottom="0" percent="0" rank="0" text="" dxfId="54">
      <formula>"PVCre?"</formula>
    </cfRule>
    <cfRule type="cellIs" priority="365" operator="equal" aboveAverage="0" equalAverage="0" bottom="0" percent="0" rank="0" text="" dxfId="55">
      <formula>"FlCx36-KO x PVCre"</formula>
    </cfRule>
    <cfRule type="cellIs" priority="366" operator="equal" aboveAverage="0" equalAverage="0" bottom="0" percent="0" rank="0" text="" dxfId="56">
      <formula>"GCaMP3Thy1"</formula>
    </cfRule>
    <cfRule type="cellIs" priority="367" operator="equal" aboveAverage="0" equalAverage="0" bottom="0" percent="0" rank="0" text="" dxfId="57">
      <formula>"TdTom - Flox"</formula>
    </cfRule>
    <cfRule type="cellIs" priority="368" operator="equal" aboveAverage="0" equalAverage="0" bottom="0" percent="0" rank="0" text="" dxfId="58">
      <formula>"Bl6"</formula>
    </cfRule>
    <cfRule type="expression" priority="369" aboveAverage="0" equalAverage="0" bottom="0" percent="0" rank="0" text="" dxfId="59">
      <formula>LEN(TRIM(C60))=0</formula>
    </cfRule>
  </conditionalFormatting>
  <conditionalFormatting sqref="E60">
    <cfRule type="cellIs" priority="370" operator="equal" aboveAverage="0" equalAverage="0" bottom="0" percent="0" rank="0" text="" dxfId="49">
      <formula>"TP"</formula>
    </cfRule>
  </conditionalFormatting>
  <conditionalFormatting sqref="F60">
    <cfRule type="cellIs" priority="371" operator="greaterThan" aboveAverage="0" equalAverage="0" bottom="0" percent="0" rank="0" text="" dxfId="60">
      <formula>5</formula>
    </cfRule>
    <cfRule type="cellIs" priority="372" operator="lessThan" aboveAverage="0" equalAverage="0" bottom="0" percent="0" rank="0" text="" dxfId="61">
      <formula>2</formula>
    </cfRule>
  </conditionalFormatting>
  <conditionalFormatting sqref="I60">
    <cfRule type="containsText" priority="373" operator="containsText" aboveAverage="0" equalAverage="0" bottom="0" percent="0" rank="0" text="használni" dxfId="62">
      <formula>NOT(ISERROR(SEARCH("használni",I60)))</formula>
    </cfRule>
  </conditionalFormatting>
  <conditionalFormatting sqref="C59:G59 E7 E10:E11 E14:E15 E34">
    <cfRule type="cellIs" priority="374" operator="equal" aboveAverage="0" equalAverage="0" bottom="0" percent="0" rank="0" text="" dxfId="50">
      <formula>"PvCre"</formula>
    </cfRule>
    <cfRule type="cellIs" priority="375" operator="equal" aboveAverage="0" equalAverage="0" bottom="0" percent="0" rank="0" text="" dxfId="51">
      <formula>"Calb2-Cre"</formula>
    </cfRule>
    <cfRule type="cellIs" priority="376" operator="equal" aboveAverage="0" equalAverage="0" bottom="0" percent="0" rank="0" text="" dxfId="52">
      <formula>"FlCx36-KO (hom)"</formula>
    </cfRule>
    <cfRule type="cellIs" priority="377" operator="equal" aboveAverage="0" equalAverage="0" bottom="0" percent="0" rank="0" text="" dxfId="53">
      <formula>"FLCx36KO_Cx36FLX_PvCre"</formula>
    </cfRule>
    <cfRule type="cellIs" priority="378" operator="equal" aboveAverage="0" equalAverage="0" bottom="0" percent="0" rank="0" text="" dxfId="54">
      <formula>"PVCre?"</formula>
    </cfRule>
    <cfRule type="cellIs" priority="379" operator="equal" aboveAverage="0" equalAverage="0" bottom="0" percent="0" rank="0" text="" dxfId="55">
      <formula>"FlCx36-KO x PVCre"</formula>
    </cfRule>
    <cfRule type="cellIs" priority="380" operator="equal" aboveAverage="0" equalAverage="0" bottom="0" percent="0" rank="0" text="" dxfId="56">
      <formula>"GCaMP3Thy1"</formula>
    </cfRule>
    <cfRule type="cellIs" priority="381" operator="equal" aboveAverage="0" equalAverage="0" bottom="0" percent="0" rank="0" text="" dxfId="57">
      <formula>"TdTom - Flox"</formula>
    </cfRule>
    <cfRule type="cellIs" priority="382" operator="equal" aboveAverage="0" equalAverage="0" bottom="0" percent="0" rank="0" text="" dxfId="58">
      <formula>"Bl6"</formula>
    </cfRule>
    <cfRule type="expression" priority="383" aboveAverage="0" equalAverage="0" bottom="0" percent="0" rank="0" text="" dxfId="59">
      <formula>LEN(TRIM(C59))=0</formula>
    </cfRule>
  </conditionalFormatting>
  <conditionalFormatting sqref="F59">
    <cfRule type="cellIs" priority="384" operator="greaterThan" aboveAverage="0" equalAverage="0" bottom="0" percent="0" rank="0" text="" dxfId="60">
      <formula>5</formula>
    </cfRule>
    <cfRule type="cellIs" priority="385" operator="lessThan" aboveAverage="0" equalAverage="0" bottom="0" percent="0" rank="0" text="" dxfId="61">
      <formula>2</formula>
    </cfRule>
  </conditionalFormatting>
  <conditionalFormatting sqref="E7 E10:E11 E14:E15 E34 E59">
    <cfRule type="cellIs" priority="386" operator="equal" aboveAverage="0" equalAverage="0" bottom="0" percent="0" rank="0" text="" dxfId="49">
      <formula>"TP"</formula>
    </cfRule>
  </conditionalFormatting>
  <conditionalFormatting sqref="C58:G58">
    <cfRule type="cellIs" priority="387" operator="equal" aboveAverage="0" equalAverage="0" bottom="0" percent="0" rank="0" text="" dxfId="50">
      <formula>"PvCre"</formula>
    </cfRule>
    <cfRule type="cellIs" priority="388" operator="equal" aboveAverage="0" equalAverage="0" bottom="0" percent="0" rank="0" text="" dxfId="51">
      <formula>"Calb2-Cre"</formula>
    </cfRule>
    <cfRule type="cellIs" priority="389" operator="equal" aboveAverage="0" equalAverage="0" bottom="0" percent="0" rank="0" text="" dxfId="52">
      <formula>"FlCx36-KO (hom)"</formula>
    </cfRule>
    <cfRule type="cellIs" priority="390" operator="equal" aboveAverage="0" equalAverage="0" bottom="0" percent="0" rank="0" text="" dxfId="53">
      <formula>"FLCx36KO_Cx36FLX_PvCre"</formula>
    </cfRule>
    <cfRule type="cellIs" priority="391" operator="equal" aboveAverage="0" equalAverage="0" bottom="0" percent="0" rank="0" text="" dxfId="54">
      <formula>"PVCre?"</formula>
    </cfRule>
    <cfRule type="cellIs" priority="392" operator="equal" aboveAverage="0" equalAverage="0" bottom="0" percent="0" rank="0" text="" dxfId="55">
      <formula>"FlCx36-KO x PVCre"</formula>
    </cfRule>
    <cfRule type="cellIs" priority="393" operator="equal" aboveAverage="0" equalAverage="0" bottom="0" percent="0" rank="0" text="" dxfId="56">
      <formula>"GCaMP3Thy1"</formula>
    </cfRule>
    <cfRule type="cellIs" priority="394" operator="equal" aboveAverage="0" equalAverage="0" bottom="0" percent="0" rank="0" text="" dxfId="57">
      <formula>"TdTom - Flox"</formula>
    </cfRule>
    <cfRule type="cellIs" priority="395" operator="equal" aboveAverage="0" equalAverage="0" bottom="0" percent="0" rank="0" text="" dxfId="58">
      <formula>"Bl6"</formula>
    </cfRule>
    <cfRule type="expression" priority="396" aboveAverage="0" equalAverage="0" bottom="0" percent="0" rank="0" text="" dxfId="59">
      <formula>LEN(TRIM(C58))=0</formula>
    </cfRule>
  </conditionalFormatting>
  <conditionalFormatting sqref="F58">
    <cfRule type="cellIs" priority="397" operator="greaterThan" aboveAverage="0" equalAverage="0" bottom="0" percent="0" rank="0" text="" dxfId="60">
      <formula>5</formula>
    </cfRule>
    <cfRule type="cellIs" priority="398" operator="lessThan" aboveAverage="0" equalAverage="0" bottom="0" percent="0" rank="0" text="" dxfId="61">
      <formula>2</formula>
    </cfRule>
  </conditionalFormatting>
  <conditionalFormatting sqref="E58">
    <cfRule type="cellIs" priority="399" operator="equal" aboveAverage="0" equalAverage="0" bottom="0" percent="0" rank="0" text="" dxfId="49">
      <formula>"TP"</formula>
    </cfRule>
  </conditionalFormatting>
  <conditionalFormatting sqref="F57">
    <cfRule type="cellIs" priority="400" operator="greaterThan" aboveAverage="0" equalAverage="0" bottom="0" percent="0" rank="0" text="" dxfId="60">
      <formula>5</formula>
    </cfRule>
    <cfRule type="cellIs" priority="401" operator="lessThan" aboveAverage="0" equalAverage="0" bottom="0" percent="0" rank="0" text="" dxfId="61">
      <formula>2</formula>
    </cfRule>
  </conditionalFormatting>
  <conditionalFormatting sqref="C57 D39:D40 D56:D59 E57:F57 G56:G57">
    <cfRule type="cellIs" priority="402" operator="equal" aboveAverage="0" equalAverage="0" bottom="0" percent="0" rank="0" text="" dxfId="50">
      <formula>"PvCre"</formula>
    </cfRule>
    <cfRule type="cellIs" priority="403" operator="equal" aboveAverage="0" equalAverage="0" bottom="0" percent="0" rank="0" text="" dxfId="51">
      <formula>"Calb2-Cre"</formula>
    </cfRule>
    <cfRule type="cellIs" priority="404" operator="equal" aboveAverage="0" equalAverage="0" bottom="0" percent="0" rank="0" text="" dxfId="52">
      <formula>"FlCx36-KO (hom)"</formula>
    </cfRule>
    <cfRule type="cellIs" priority="405" operator="equal" aboveAverage="0" equalAverage="0" bottom="0" percent="0" rank="0" text="" dxfId="53">
      <formula>"FLCx36KO_Cx36FLX_PvCre"</formula>
    </cfRule>
    <cfRule type="cellIs" priority="406" operator="equal" aboveAverage="0" equalAverage="0" bottom="0" percent="0" rank="0" text="" dxfId="54">
      <formula>"PVCre?"</formula>
    </cfRule>
    <cfRule type="cellIs" priority="407" operator="equal" aboveAverage="0" equalAverage="0" bottom="0" percent="0" rank="0" text="" dxfId="55">
      <formula>"FlCx36-KO x PVCre"</formula>
    </cfRule>
    <cfRule type="cellIs" priority="408" operator="equal" aboveAverage="0" equalAverage="0" bottom="0" percent="0" rank="0" text="" dxfId="56">
      <formula>"GCaMP3Thy1"</formula>
    </cfRule>
    <cfRule type="cellIs" priority="409" operator="equal" aboveAverage="0" equalAverage="0" bottom="0" percent="0" rank="0" text="" dxfId="57">
      <formula>"TdTom - Flox"</formula>
    </cfRule>
    <cfRule type="cellIs" priority="410" operator="equal" aboveAverage="0" equalAverage="0" bottom="0" percent="0" rank="0" text="" dxfId="58">
      <formula>"Bl6"</formula>
    </cfRule>
    <cfRule type="expression" priority="411" aboveAverage="0" equalAverage="0" bottom="0" percent="0" rank="0" text="" dxfId="59">
      <formula>LEN(TRIM(C57))=0</formula>
    </cfRule>
  </conditionalFormatting>
  <conditionalFormatting sqref="E57">
    <cfRule type="cellIs" priority="412" operator="equal" aboveAverage="0" equalAverage="0" bottom="0" percent="0" rank="0" text="" dxfId="49">
      <formula>"TP"</formula>
    </cfRule>
  </conditionalFormatting>
  <conditionalFormatting sqref="E56">
    <cfRule type="cellIs" priority="413" operator="equal" aboveAverage="0" equalAverage="0" bottom="0" percent="0" rank="0" text="" dxfId="49">
      <formula>"TP"</formula>
    </cfRule>
  </conditionalFormatting>
  <conditionalFormatting sqref="F56">
    <cfRule type="cellIs" priority="414" operator="greaterThan" aboveAverage="0" equalAverage="0" bottom="0" percent="0" rank="0" text="" dxfId="60">
      <formula>5</formula>
    </cfRule>
    <cfRule type="cellIs" priority="415" operator="lessThan" aboveAverage="0" equalAverage="0" bottom="0" percent="0" rank="0" text="" dxfId="61">
      <formula>2</formula>
    </cfRule>
  </conditionalFormatting>
  <conditionalFormatting sqref="C56 D39:D40 D56:D59 E56:G56">
    <cfRule type="cellIs" priority="416" operator="equal" aboveAverage="0" equalAverage="0" bottom="0" percent="0" rank="0" text="" dxfId="50">
      <formula>"PvCre"</formula>
    </cfRule>
    <cfRule type="cellIs" priority="417" operator="equal" aboveAverage="0" equalAverage="0" bottom="0" percent="0" rank="0" text="" dxfId="51">
      <formula>"Calb2-Cre"</formula>
    </cfRule>
    <cfRule type="cellIs" priority="418" operator="equal" aboveAverage="0" equalAverage="0" bottom="0" percent="0" rank="0" text="" dxfId="52">
      <formula>"FlCx36-KO (hom)"</formula>
    </cfRule>
    <cfRule type="cellIs" priority="419" operator="equal" aboveAverage="0" equalAverage="0" bottom="0" percent="0" rank="0" text="" dxfId="53">
      <formula>"FLCx36KO_Cx36FLX_PvCre"</formula>
    </cfRule>
    <cfRule type="cellIs" priority="420" operator="equal" aboveAverage="0" equalAverage="0" bottom="0" percent="0" rank="0" text="" dxfId="54">
      <formula>"PVCre?"</formula>
    </cfRule>
    <cfRule type="cellIs" priority="421" operator="equal" aboveAverage="0" equalAverage="0" bottom="0" percent="0" rank="0" text="" dxfId="55">
      <formula>"FlCx36-KO x PVCre"</formula>
    </cfRule>
    <cfRule type="cellIs" priority="422" operator="equal" aboveAverage="0" equalAverage="0" bottom="0" percent="0" rank="0" text="" dxfId="56">
      <formula>"GCaMP3Thy1"</formula>
    </cfRule>
    <cfRule type="cellIs" priority="423" operator="equal" aboveAverage="0" equalAverage="0" bottom="0" percent="0" rank="0" text="" dxfId="57">
      <formula>"TdTom - Flox"</formula>
    </cfRule>
    <cfRule type="cellIs" priority="424" operator="equal" aboveAverage="0" equalAverage="0" bottom="0" percent="0" rank="0" text="" dxfId="58">
      <formula>"Bl6"</formula>
    </cfRule>
    <cfRule type="expression" priority="425" aboveAverage="0" equalAverage="0" bottom="0" percent="0" rank="0" text="" dxfId="59">
      <formula>LEN(TRIM(C56))=0</formula>
    </cfRule>
  </conditionalFormatting>
  <conditionalFormatting sqref="E55">
    <cfRule type="cellIs" priority="426" operator="equal" aboveAverage="0" equalAverage="0" bottom="0" percent="0" rank="0" text="" dxfId="49">
      <formula>"TP"</formula>
    </cfRule>
  </conditionalFormatting>
  <conditionalFormatting sqref="C55 C62 D10 D39:D40 D48 D50 D52:D59 D61:D64 D66 D73 D75:D76 D80:D85 E55:F55 E62:E65 F62:G62 G55:G56">
    <cfRule type="cellIs" priority="427" operator="equal" aboveAverage="0" equalAverage="0" bottom="0" percent="0" rank="0" text="" dxfId="50">
      <formula>"PvCre"</formula>
    </cfRule>
    <cfRule type="cellIs" priority="428" operator="equal" aboveAverage="0" equalAverage="0" bottom="0" percent="0" rank="0" text="" dxfId="51">
      <formula>"Calb2-Cre"</formula>
    </cfRule>
    <cfRule type="cellIs" priority="429" operator="equal" aboveAverage="0" equalAverage="0" bottom="0" percent="0" rank="0" text="" dxfId="52">
      <formula>"FlCx36-KO (hom)"</formula>
    </cfRule>
    <cfRule type="cellIs" priority="430" operator="equal" aboveAverage="0" equalAverage="0" bottom="0" percent="0" rank="0" text="" dxfId="53">
      <formula>"FLCx36KO_Cx36FLX_PvCre"</formula>
    </cfRule>
    <cfRule type="cellIs" priority="431" operator="equal" aboveAverage="0" equalAverage="0" bottom="0" percent="0" rank="0" text="" dxfId="54">
      <formula>"PVCre?"</formula>
    </cfRule>
    <cfRule type="cellIs" priority="432" operator="equal" aboveAverage="0" equalAverage="0" bottom="0" percent="0" rank="0" text="" dxfId="55">
      <formula>"FlCx36-KO x PVCre"</formula>
    </cfRule>
    <cfRule type="cellIs" priority="433" operator="equal" aboveAverage="0" equalAverage="0" bottom="0" percent="0" rank="0" text="" dxfId="56">
      <formula>"GCaMP3Thy1"</formula>
    </cfRule>
    <cfRule type="cellIs" priority="434" operator="equal" aboveAverage="0" equalAverage="0" bottom="0" percent="0" rank="0" text="" dxfId="57">
      <formula>"TdTom - Flox"</formula>
    </cfRule>
    <cfRule type="cellIs" priority="435" operator="equal" aboveAverage="0" equalAverage="0" bottom="0" percent="0" rank="0" text="" dxfId="58">
      <formula>"Bl6"</formula>
    </cfRule>
    <cfRule type="expression" priority="436" aboveAverage="0" equalAverage="0" bottom="0" percent="0" rank="0" text="" dxfId="59">
      <formula>LEN(TRIM(C55))=0</formula>
    </cfRule>
  </conditionalFormatting>
  <conditionalFormatting sqref="F55">
    <cfRule type="cellIs" priority="437" operator="greaterThan" aboveAverage="0" equalAverage="0" bottom="0" percent="0" rank="0" text="" dxfId="60">
      <formula>5</formula>
    </cfRule>
    <cfRule type="cellIs" priority="438" operator="lessThan" aboveAverage="0" equalAverage="0" bottom="0" percent="0" rank="0" text="" dxfId="61">
      <formula>2</formula>
    </cfRule>
  </conditionalFormatting>
  <conditionalFormatting sqref="C54:H54">
    <cfRule type="cellIs" priority="439" operator="equal" aboveAverage="0" equalAverage="0" bottom="0" percent="0" rank="0" text="" dxfId="50">
      <formula>"PvCre"</formula>
    </cfRule>
    <cfRule type="cellIs" priority="440" operator="equal" aboveAverage="0" equalAverage="0" bottom="0" percent="0" rank="0" text="" dxfId="51">
      <formula>"Calb2-Cre"</formula>
    </cfRule>
    <cfRule type="cellIs" priority="441" operator="equal" aboveAverage="0" equalAverage="0" bottom="0" percent="0" rank="0" text="" dxfId="52">
      <formula>"FlCx36-KO (hom)"</formula>
    </cfRule>
    <cfRule type="cellIs" priority="442" operator="equal" aboveAverage="0" equalAverage="0" bottom="0" percent="0" rank="0" text="" dxfId="53">
      <formula>"FLCx36KO_Cx36FLX_PvCre"</formula>
    </cfRule>
    <cfRule type="cellIs" priority="443" operator="equal" aboveAverage="0" equalAverage="0" bottom="0" percent="0" rank="0" text="" dxfId="54">
      <formula>"PVCre?"</formula>
    </cfRule>
    <cfRule type="cellIs" priority="444" operator="equal" aboveAverage="0" equalAverage="0" bottom="0" percent="0" rank="0" text="" dxfId="55">
      <formula>"FlCx36-KO x PVCre"</formula>
    </cfRule>
    <cfRule type="cellIs" priority="445" operator="equal" aboveAverage="0" equalAverage="0" bottom="0" percent="0" rank="0" text="" dxfId="56">
      <formula>"GCaMP3Thy1"</formula>
    </cfRule>
    <cfRule type="cellIs" priority="446" operator="equal" aboveAverage="0" equalAverage="0" bottom="0" percent="0" rank="0" text="" dxfId="57">
      <formula>"TdTom - Flox"</formula>
    </cfRule>
    <cfRule type="cellIs" priority="447" operator="equal" aboveAverage="0" equalAverage="0" bottom="0" percent="0" rank="0" text="" dxfId="58">
      <formula>"Bl6"</formula>
    </cfRule>
    <cfRule type="expression" priority="448" aboveAverage="0" equalAverage="0" bottom="0" percent="0" rank="0" text="" dxfId="59">
      <formula>LEN(TRIM(C54))=0</formula>
    </cfRule>
  </conditionalFormatting>
  <conditionalFormatting sqref="E54">
    <cfRule type="cellIs" priority="449" operator="equal" aboveAverage="0" equalAverage="0" bottom="0" percent="0" rank="0" text="" dxfId="49">
      <formula>"TP"</formula>
    </cfRule>
  </conditionalFormatting>
  <conditionalFormatting sqref="F54">
    <cfRule type="cellIs" priority="450" operator="greaterThan" aboveAverage="0" equalAverage="0" bottom="0" percent="0" rank="0" text="" dxfId="60">
      <formula>5</formula>
    </cfRule>
    <cfRule type="cellIs" priority="451" operator="lessThan" aboveAverage="0" equalAverage="0" bottom="0" percent="0" rank="0" text="" dxfId="61">
      <formula>2</formula>
    </cfRule>
  </conditionalFormatting>
  <conditionalFormatting sqref="F52">
    <cfRule type="cellIs" priority="452" operator="greaterThan" aboveAverage="0" equalAverage="0" bottom="0" percent="0" rank="0" text="" dxfId="60">
      <formula>5</formula>
    </cfRule>
    <cfRule type="cellIs" priority="453" operator="lessThan" aboveAverage="0" equalAverage="0" bottom="0" percent="0" rank="0" text="" dxfId="61">
      <formula>2</formula>
    </cfRule>
  </conditionalFormatting>
  <conditionalFormatting sqref="C52 D39:D40 D50 D52:D53 D55:D58 D61 E52:F52 G52:G53">
    <cfRule type="cellIs" priority="454" operator="equal" aboveAverage="0" equalAverage="0" bottom="0" percent="0" rank="0" text="" dxfId="50">
      <formula>"PvCre"</formula>
    </cfRule>
    <cfRule type="cellIs" priority="455" operator="equal" aboveAverage="0" equalAverage="0" bottom="0" percent="0" rank="0" text="" dxfId="51">
      <formula>"Calb2-Cre"</formula>
    </cfRule>
    <cfRule type="cellIs" priority="456" operator="equal" aboveAverage="0" equalAverage="0" bottom="0" percent="0" rank="0" text="" dxfId="52">
      <formula>"FlCx36-KO (hom)"</formula>
    </cfRule>
    <cfRule type="cellIs" priority="457" operator="equal" aboveAverage="0" equalAverage="0" bottom="0" percent="0" rank="0" text="" dxfId="53">
      <formula>"FLCx36KO_Cx36FLX_PvCre"</formula>
    </cfRule>
    <cfRule type="cellIs" priority="458" operator="equal" aboveAverage="0" equalAverage="0" bottom="0" percent="0" rank="0" text="" dxfId="54">
      <formula>"PVCre?"</formula>
    </cfRule>
    <cfRule type="cellIs" priority="459" operator="equal" aboveAverage="0" equalAverage="0" bottom="0" percent="0" rank="0" text="" dxfId="55">
      <formula>"FlCx36-KO x PVCre"</formula>
    </cfRule>
    <cfRule type="cellIs" priority="460" operator="equal" aboveAverage="0" equalAverage="0" bottom="0" percent="0" rank="0" text="" dxfId="56">
      <formula>"GCaMP3Thy1"</formula>
    </cfRule>
    <cfRule type="cellIs" priority="461" operator="equal" aboveAverage="0" equalAverage="0" bottom="0" percent="0" rank="0" text="" dxfId="57">
      <formula>"TdTom - Flox"</formula>
    </cfRule>
    <cfRule type="cellIs" priority="462" operator="equal" aboveAverage="0" equalAverage="0" bottom="0" percent="0" rank="0" text="" dxfId="58">
      <formula>"Bl6"</formula>
    </cfRule>
    <cfRule type="expression" priority="463" aboveAverage="0" equalAverage="0" bottom="0" percent="0" rank="0" text="" dxfId="59">
      <formula>LEN(TRIM(C52))=0</formula>
    </cfRule>
  </conditionalFormatting>
  <conditionalFormatting sqref="E52">
    <cfRule type="cellIs" priority="464" operator="equal" aboveAverage="0" equalAverage="0" bottom="0" percent="0" rank="0" text="" dxfId="49">
      <formula>"TP"</formula>
    </cfRule>
  </conditionalFormatting>
  <conditionalFormatting sqref="I51">
    <cfRule type="containsText" priority="465" operator="containsText" aboveAverage="0" equalAverage="0" bottom="0" percent="0" rank="0" text="használni" dxfId="62">
      <formula>NOT(ISERROR(SEARCH("használni",I51)))</formula>
    </cfRule>
  </conditionalFormatting>
  <conditionalFormatting sqref="C51 D39:D40 D50:D51 D53 D55 D57 D61:D62 D66 D80:D81 E51:I51">
    <cfRule type="cellIs" priority="466" operator="equal" aboveAverage="0" equalAverage="0" bottom="0" percent="0" rank="0" text="" dxfId="50">
      <formula>"PvCre"</formula>
    </cfRule>
    <cfRule type="cellIs" priority="467" operator="equal" aboveAverage="0" equalAverage="0" bottom="0" percent="0" rank="0" text="" dxfId="51">
      <formula>"Calb2-Cre"</formula>
    </cfRule>
    <cfRule type="cellIs" priority="468" operator="equal" aboveAverage="0" equalAverage="0" bottom="0" percent="0" rank="0" text="" dxfId="52">
      <formula>"FlCx36-KO (hom)"</formula>
    </cfRule>
    <cfRule type="cellIs" priority="469" operator="equal" aboveAverage="0" equalAverage="0" bottom="0" percent="0" rank="0" text="" dxfId="53">
      <formula>"FLCx36KO_Cx36FLX_PvCre"</formula>
    </cfRule>
    <cfRule type="cellIs" priority="470" operator="equal" aboveAverage="0" equalAverage="0" bottom="0" percent="0" rank="0" text="" dxfId="54">
      <formula>"PVCre?"</formula>
    </cfRule>
    <cfRule type="cellIs" priority="471" operator="equal" aboveAverage="0" equalAverage="0" bottom="0" percent="0" rank="0" text="" dxfId="55">
      <formula>"FlCx36-KO x PVCre"</formula>
    </cfRule>
    <cfRule type="cellIs" priority="472" operator="equal" aboveAverage="0" equalAverage="0" bottom="0" percent="0" rank="0" text="" dxfId="56">
      <formula>"GCaMP3Thy1"</formula>
    </cfRule>
    <cfRule type="cellIs" priority="473" operator="equal" aboveAverage="0" equalAverage="0" bottom="0" percent="0" rank="0" text="" dxfId="57">
      <formula>"TdTom - Flox"</formula>
    </cfRule>
    <cfRule type="cellIs" priority="474" operator="equal" aboveAverage="0" equalAverage="0" bottom="0" percent="0" rank="0" text="" dxfId="58">
      <formula>"Bl6"</formula>
    </cfRule>
    <cfRule type="expression" priority="475" aboveAverage="0" equalAverage="0" bottom="0" percent="0" rank="0" text="" dxfId="59">
      <formula>LEN(TRIM(C51))=0</formula>
    </cfRule>
  </conditionalFormatting>
  <conditionalFormatting sqref="E51">
    <cfRule type="cellIs" priority="476" operator="equal" aboveAverage="0" equalAverage="0" bottom="0" percent="0" rank="0" text="" dxfId="49">
      <formula>"TP"</formula>
    </cfRule>
  </conditionalFormatting>
  <conditionalFormatting sqref="F51">
    <cfRule type="cellIs" priority="477" operator="greaterThan" aboveAverage="0" equalAverage="0" bottom="0" percent="0" rank="0" text="" dxfId="60">
      <formula>5</formula>
    </cfRule>
    <cfRule type="cellIs" priority="478" operator="lessThan" aboveAverage="0" equalAverage="0" bottom="0" percent="0" rank="0" text="" dxfId="61">
      <formula>2</formula>
    </cfRule>
  </conditionalFormatting>
  <conditionalFormatting sqref="I50">
    <cfRule type="containsText" priority="479" operator="containsText" aboveAverage="0" equalAverage="0" bottom="0" percent="0" rank="0" text="használni" dxfId="62">
      <formula>NOT(ISERROR(SEARCH("használni",I50)))</formula>
    </cfRule>
  </conditionalFormatting>
  <conditionalFormatting sqref="C50:I50 D39:D40 D52:D53 D55:D58 D61 G52 J57">
    <cfRule type="cellIs" priority="480" operator="equal" aboveAverage="0" equalAverage="0" bottom="0" percent="0" rank="0" text="" dxfId="50">
      <formula>"PvCre"</formula>
    </cfRule>
    <cfRule type="cellIs" priority="481" operator="equal" aboveAverage="0" equalAverage="0" bottom="0" percent="0" rank="0" text="" dxfId="51">
      <formula>"Calb2-Cre"</formula>
    </cfRule>
    <cfRule type="cellIs" priority="482" operator="equal" aboveAverage="0" equalAverage="0" bottom="0" percent="0" rank="0" text="" dxfId="52">
      <formula>"FlCx36-KO (hom)"</formula>
    </cfRule>
    <cfRule type="cellIs" priority="483" operator="equal" aboveAverage="0" equalAverage="0" bottom="0" percent="0" rank="0" text="" dxfId="53">
      <formula>"FLCx36KO_Cx36FLX_PvCre"</formula>
    </cfRule>
    <cfRule type="cellIs" priority="484" operator="equal" aboveAverage="0" equalAverage="0" bottom="0" percent="0" rank="0" text="" dxfId="54">
      <formula>"PVCre?"</formula>
    </cfRule>
    <cfRule type="cellIs" priority="485" operator="equal" aboveAverage="0" equalAverage="0" bottom="0" percent="0" rank="0" text="" dxfId="55">
      <formula>"FlCx36-KO x PVCre"</formula>
    </cfRule>
    <cfRule type="cellIs" priority="486" operator="equal" aboveAverage="0" equalAverage="0" bottom="0" percent="0" rank="0" text="" dxfId="56">
      <formula>"GCaMP3Thy1"</formula>
    </cfRule>
    <cfRule type="cellIs" priority="487" operator="equal" aboveAverage="0" equalAverage="0" bottom="0" percent="0" rank="0" text="" dxfId="57">
      <formula>"TdTom - Flox"</formula>
    </cfRule>
    <cfRule type="cellIs" priority="488" operator="equal" aboveAverage="0" equalAverage="0" bottom="0" percent="0" rank="0" text="" dxfId="58">
      <formula>"Bl6"</formula>
    </cfRule>
    <cfRule type="expression" priority="489" aboveAverage="0" equalAverage="0" bottom="0" percent="0" rank="0" text="" dxfId="59">
      <formula>LEN(TRIM(C50))=0</formula>
    </cfRule>
  </conditionalFormatting>
  <conditionalFormatting sqref="E50">
    <cfRule type="cellIs" priority="490" operator="equal" aboveAverage="0" equalAverage="0" bottom="0" percent="0" rank="0" text="" dxfId="49">
      <formula>"TP"</formula>
    </cfRule>
  </conditionalFormatting>
  <conditionalFormatting sqref="F50">
    <cfRule type="cellIs" priority="491" operator="greaterThan" aboveAverage="0" equalAverage="0" bottom="0" percent="0" rank="0" text="" dxfId="60">
      <formula>5</formula>
    </cfRule>
    <cfRule type="cellIs" priority="492" operator="lessThan" aboveAverage="0" equalAverage="0" bottom="0" percent="0" rank="0" text="" dxfId="61">
      <formula>2</formula>
    </cfRule>
  </conditionalFormatting>
  <conditionalFormatting sqref="J57">
    <cfRule type="containsText" priority="493" operator="containsText" aboveAverage="0" equalAverage="0" bottom="0" percent="0" rank="0" text="Gergő" dxfId="63">
      <formula>NOT(ISERROR(SEARCH("Gergő",J57)))</formula>
    </cfRule>
  </conditionalFormatting>
  <conditionalFormatting sqref="C47:G49 C54:C56 D39:D40 D54:D58 D61 D63:D64 E54:G56">
    <cfRule type="cellIs" priority="494" operator="equal" aboveAverage="0" equalAverage="0" bottom="0" percent="0" rank="0" text="" dxfId="50">
      <formula>"PvCre"</formula>
    </cfRule>
    <cfRule type="cellIs" priority="495" operator="equal" aboveAverage="0" equalAverage="0" bottom="0" percent="0" rank="0" text="" dxfId="51">
      <formula>"Calb2-Cre"</formula>
    </cfRule>
    <cfRule type="cellIs" priority="496" operator="equal" aboveAverage="0" equalAverage="0" bottom="0" percent="0" rank="0" text="" dxfId="52">
      <formula>"FlCx36-KO (hom)"</formula>
    </cfRule>
    <cfRule type="cellIs" priority="497" operator="equal" aboveAverage="0" equalAverage="0" bottom="0" percent="0" rank="0" text="" dxfId="53">
      <formula>"FLCx36KO_Cx36FLX_PvCre"</formula>
    </cfRule>
    <cfRule type="cellIs" priority="498" operator="equal" aboveAverage="0" equalAverage="0" bottom="0" percent="0" rank="0" text="" dxfId="54">
      <formula>"PVCre?"</formula>
    </cfRule>
    <cfRule type="cellIs" priority="499" operator="equal" aboveAverage="0" equalAverage="0" bottom="0" percent="0" rank="0" text="" dxfId="55">
      <formula>"FlCx36-KO x PVCre"</formula>
    </cfRule>
    <cfRule type="cellIs" priority="500" operator="equal" aboveAverage="0" equalAverage="0" bottom="0" percent="0" rank="0" text="" dxfId="56">
      <formula>"GCaMP3Thy1"</formula>
    </cfRule>
    <cfRule type="cellIs" priority="501" operator="equal" aboveAverage="0" equalAverage="0" bottom="0" percent="0" rank="0" text="" dxfId="57">
      <formula>"TdTom - Flox"</formula>
    </cfRule>
    <cfRule type="cellIs" priority="502" operator="equal" aboveAverage="0" equalAverage="0" bottom="0" percent="0" rank="0" text="" dxfId="58">
      <formula>"Bl6"</formula>
    </cfRule>
    <cfRule type="expression" priority="503" aboveAverage="0" equalAverage="0" bottom="0" percent="0" rank="0" text="" dxfId="59">
      <formula>LEN(TRIM(C47))=0</formula>
    </cfRule>
  </conditionalFormatting>
  <conditionalFormatting sqref="E47:E49">
    <cfRule type="cellIs" priority="504" operator="equal" aboveAverage="0" equalAverage="0" bottom="0" percent="0" rank="0" text="" dxfId="49">
      <formula>"TP"</formula>
    </cfRule>
  </conditionalFormatting>
  <conditionalFormatting sqref="F47:F49">
    <cfRule type="cellIs" priority="505" operator="greaterThan" aboveAverage="0" equalAverage="0" bottom="0" percent="0" rank="0" text="" dxfId="60">
      <formula>5</formula>
    </cfRule>
    <cfRule type="cellIs" priority="506" operator="lessThan" aboveAverage="0" equalAverage="0" bottom="0" percent="0" rank="0" text="" dxfId="61">
      <formula>2</formula>
    </cfRule>
  </conditionalFormatting>
  <conditionalFormatting sqref="E46">
    <cfRule type="cellIs" priority="507" operator="equal" aboveAverage="0" equalAverage="0" bottom="0" percent="0" rank="0" text="" dxfId="49">
      <formula>"TP"</formula>
    </cfRule>
  </conditionalFormatting>
  <conditionalFormatting sqref="C46:H46">
    <cfRule type="cellIs" priority="508" operator="equal" aboveAverage="0" equalAverage="0" bottom="0" percent="0" rank="0" text="" dxfId="50">
      <formula>"PvCre"</formula>
    </cfRule>
    <cfRule type="cellIs" priority="509" operator="equal" aboveAverage="0" equalAverage="0" bottom="0" percent="0" rank="0" text="" dxfId="51">
      <formula>"Calb2-Cre"</formula>
    </cfRule>
    <cfRule type="cellIs" priority="510" operator="equal" aboveAverage="0" equalAverage="0" bottom="0" percent="0" rank="0" text="" dxfId="52">
      <formula>"FlCx36-KO (hom)"</formula>
    </cfRule>
    <cfRule type="cellIs" priority="511" operator="equal" aboveAverage="0" equalAverage="0" bottom="0" percent="0" rank="0" text="" dxfId="53">
      <formula>"FLCx36KO_Cx36FLX_PvCre"</formula>
    </cfRule>
    <cfRule type="cellIs" priority="512" operator="equal" aboveAverage="0" equalAverage="0" bottom="0" percent="0" rank="0" text="" dxfId="54">
      <formula>"PVCre?"</formula>
    </cfRule>
    <cfRule type="cellIs" priority="513" operator="equal" aboveAverage="0" equalAverage="0" bottom="0" percent="0" rank="0" text="" dxfId="55">
      <formula>"FlCx36-KO x PVCre"</formula>
    </cfRule>
    <cfRule type="cellIs" priority="514" operator="equal" aboveAverage="0" equalAverage="0" bottom="0" percent="0" rank="0" text="" dxfId="56">
      <formula>"GCaMP3Thy1"</formula>
    </cfRule>
    <cfRule type="cellIs" priority="515" operator="equal" aboveAverage="0" equalAverage="0" bottom="0" percent="0" rank="0" text="" dxfId="57">
      <formula>"TdTom - Flox"</formula>
    </cfRule>
    <cfRule type="cellIs" priority="516" operator="equal" aboveAverage="0" equalAverage="0" bottom="0" percent="0" rank="0" text="" dxfId="58">
      <formula>"Bl6"</formula>
    </cfRule>
    <cfRule type="expression" priority="517" aboveAverage="0" equalAverage="0" bottom="0" percent="0" rank="0" text="" dxfId="59">
      <formula>LEN(TRIM(C46))=0</formula>
    </cfRule>
  </conditionalFormatting>
  <conditionalFormatting sqref="F46">
    <cfRule type="cellIs" priority="518" operator="greaterThan" aboveAverage="0" equalAverage="0" bottom="0" percent="0" rank="0" text="" dxfId="60">
      <formula>5</formula>
    </cfRule>
    <cfRule type="cellIs" priority="519" operator="lessThan" aboveAverage="0" equalAverage="0" bottom="0" percent="0" rank="0" text="" dxfId="61">
      <formula>2</formula>
    </cfRule>
  </conditionalFormatting>
  <conditionalFormatting sqref="E45">
    <cfRule type="cellIs" priority="520" operator="equal" aboveAverage="0" equalAverage="0" bottom="0" percent="0" rank="0" text="" dxfId="49">
      <formula>"TP"</formula>
    </cfRule>
  </conditionalFormatting>
  <conditionalFormatting sqref="C45:I45">
    <cfRule type="cellIs" priority="521" operator="equal" aboveAverage="0" equalAverage="0" bottom="0" percent="0" rank="0" text="" dxfId="50">
      <formula>"PvCre"</formula>
    </cfRule>
    <cfRule type="cellIs" priority="522" operator="equal" aboveAverage="0" equalAverage="0" bottom="0" percent="0" rank="0" text="" dxfId="51">
      <formula>"Calb2-Cre"</formula>
    </cfRule>
    <cfRule type="cellIs" priority="523" operator="equal" aboveAverage="0" equalAverage="0" bottom="0" percent="0" rank="0" text="" dxfId="52">
      <formula>"FlCx36-KO (hom)"</formula>
    </cfRule>
    <cfRule type="cellIs" priority="524" operator="equal" aboveAverage="0" equalAverage="0" bottom="0" percent="0" rank="0" text="" dxfId="53">
      <formula>"FLCx36KO_Cx36FLX_PvCre"</formula>
    </cfRule>
    <cfRule type="cellIs" priority="525" operator="equal" aboveAverage="0" equalAverage="0" bottom="0" percent="0" rank="0" text="" dxfId="54">
      <formula>"PVCre?"</formula>
    </cfRule>
    <cfRule type="cellIs" priority="526" operator="equal" aboveAverage="0" equalAverage="0" bottom="0" percent="0" rank="0" text="" dxfId="55">
      <formula>"FlCx36-KO x PVCre"</formula>
    </cfRule>
    <cfRule type="cellIs" priority="527" operator="equal" aboveAverage="0" equalAverage="0" bottom="0" percent="0" rank="0" text="" dxfId="56">
      <formula>"GCaMP3Thy1"</formula>
    </cfRule>
    <cfRule type="cellIs" priority="528" operator="equal" aboveAverage="0" equalAverage="0" bottom="0" percent="0" rank="0" text="" dxfId="57">
      <formula>"TdTom - Flox"</formula>
    </cfRule>
    <cfRule type="cellIs" priority="529" operator="equal" aboveAverage="0" equalAverage="0" bottom="0" percent="0" rank="0" text="" dxfId="58">
      <formula>"Bl6"</formula>
    </cfRule>
    <cfRule type="expression" priority="530" aboveAverage="0" equalAverage="0" bottom="0" percent="0" rank="0" text="" dxfId="59">
      <formula>LEN(TRIM(C45))=0</formula>
    </cfRule>
  </conditionalFormatting>
  <conditionalFormatting sqref="I45">
    <cfRule type="containsText" priority="531" operator="containsText" aboveAverage="0" equalAverage="0" bottom="0" percent="0" rank="0" text="használni" dxfId="62">
      <formula>NOT(ISERROR(SEARCH("használni",I45)))</formula>
    </cfRule>
  </conditionalFormatting>
  <conditionalFormatting sqref="F45">
    <cfRule type="cellIs" priority="532" operator="greaterThan" aboveAverage="0" equalAverage="0" bottom="0" percent="0" rank="0" text="" dxfId="60">
      <formula>5</formula>
    </cfRule>
    <cfRule type="cellIs" priority="533" operator="lessThan" aboveAverage="0" equalAverage="0" bottom="0" percent="0" rank="0" text="" dxfId="61">
      <formula>2</formula>
    </cfRule>
  </conditionalFormatting>
  <conditionalFormatting sqref="C44 D44:G45">
    <cfRule type="cellIs" priority="534" operator="equal" aboveAverage="0" equalAverage="0" bottom="0" percent="0" rank="0" text="" dxfId="50">
      <formula>"PvCre"</formula>
    </cfRule>
    <cfRule type="cellIs" priority="535" operator="equal" aboveAverage="0" equalAverage="0" bottom="0" percent="0" rank="0" text="" dxfId="51">
      <formula>"Calb2-Cre"</formula>
    </cfRule>
    <cfRule type="cellIs" priority="536" operator="equal" aboveAverage="0" equalAverage="0" bottom="0" percent="0" rank="0" text="" dxfId="52">
      <formula>"FlCx36-KO (hom)"</formula>
    </cfRule>
    <cfRule type="cellIs" priority="537" operator="equal" aboveAverage="0" equalAverage="0" bottom="0" percent="0" rank="0" text="" dxfId="53">
      <formula>"FLCx36KO_Cx36FLX_PvCre"</formula>
    </cfRule>
    <cfRule type="cellIs" priority="538" operator="equal" aboveAverage="0" equalAverage="0" bottom="0" percent="0" rank="0" text="" dxfId="54">
      <formula>"PVCre?"</formula>
    </cfRule>
    <cfRule type="cellIs" priority="539" operator="equal" aboveAverage="0" equalAverage="0" bottom="0" percent="0" rank="0" text="" dxfId="55">
      <formula>"FlCx36-KO x PVCre"</formula>
    </cfRule>
    <cfRule type="cellIs" priority="540" operator="equal" aboveAverage="0" equalAverage="0" bottom="0" percent="0" rank="0" text="" dxfId="56">
      <formula>"GCaMP3Thy1"</formula>
    </cfRule>
    <cfRule type="cellIs" priority="541" operator="equal" aboveAverage="0" equalAverage="0" bottom="0" percent="0" rank="0" text="" dxfId="57">
      <formula>"TdTom - Flox"</formula>
    </cfRule>
    <cfRule type="cellIs" priority="542" operator="equal" aboveAverage="0" equalAverage="0" bottom="0" percent="0" rank="0" text="" dxfId="58">
      <formula>"Bl6"</formula>
    </cfRule>
    <cfRule type="expression" priority="543" aboveAverage="0" equalAverage="0" bottom="0" percent="0" rank="0" text="" dxfId="59">
      <formula>LEN(TRIM(C44))=0</formula>
    </cfRule>
  </conditionalFormatting>
  <conditionalFormatting sqref="F44:F45">
    <cfRule type="cellIs" priority="544" operator="greaterThan" aboveAverage="0" equalAverage="0" bottom="0" percent="0" rank="0" text="" dxfId="60">
      <formula>5</formula>
    </cfRule>
    <cfRule type="cellIs" priority="545" operator="lessThan" aboveAverage="0" equalAverage="0" bottom="0" percent="0" rank="0" text="" dxfId="61">
      <formula>2</formula>
    </cfRule>
  </conditionalFormatting>
  <conditionalFormatting sqref="E44:E45">
    <cfRule type="cellIs" priority="546" operator="equal" aboveAverage="0" equalAverage="0" bottom="0" percent="0" rank="0" text="" dxfId="49">
      <formula>"TP"</formula>
    </cfRule>
  </conditionalFormatting>
  <conditionalFormatting sqref="F43">
    <cfRule type="cellIs" priority="547" operator="greaterThan" aboveAverage="0" equalAverage="0" bottom="0" percent="0" rank="0" text="" dxfId="60">
      <formula>5</formula>
    </cfRule>
    <cfRule type="cellIs" priority="548" operator="lessThan" aboveAverage="0" equalAverage="0" bottom="0" percent="0" rank="0" text="" dxfId="61">
      <formula>2</formula>
    </cfRule>
  </conditionalFormatting>
  <conditionalFormatting sqref="E43">
    <cfRule type="cellIs" priority="549" operator="equal" aboveAverage="0" equalAverage="0" bottom="0" percent="0" rank="0" text="" dxfId="49">
      <formula>"TP"</formula>
    </cfRule>
  </conditionalFormatting>
  <conditionalFormatting sqref="C43:G43 D69">
    <cfRule type="cellIs" priority="550" operator="equal" aboveAverage="0" equalAverage="0" bottom="0" percent="0" rank="0" text="" dxfId="50">
      <formula>"PvCre"</formula>
    </cfRule>
    <cfRule type="cellIs" priority="551" operator="equal" aboveAverage="0" equalAverage="0" bottom="0" percent="0" rank="0" text="" dxfId="51">
      <formula>"Calb2-Cre"</formula>
    </cfRule>
    <cfRule type="cellIs" priority="552" operator="equal" aboveAverage="0" equalAverage="0" bottom="0" percent="0" rank="0" text="" dxfId="52">
      <formula>"FlCx36-KO (hom)"</formula>
    </cfRule>
    <cfRule type="cellIs" priority="553" operator="equal" aboveAverage="0" equalAverage="0" bottom="0" percent="0" rank="0" text="" dxfId="53">
      <formula>"FLCx36KO_Cx36FLX_PvCre"</formula>
    </cfRule>
    <cfRule type="cellIs" priority="554" operator="equal" aboveAverage="0" equalAverage="0" bottom="0" percent="0" rank="0" text="" dxfId="54">
      <formula>"PVCre?"</formula>
    </cfRule>
    <cfRule type="cellIs" priority="555" operator="equal" aboveAverage="0" equalAverage="0" bottom="0" percent="0" rank="0" text="" dxfId="55">
      <formula>"FlCx36-KO x PVCre"</formula>
    </cfRule>
    <cfRule type="cellIs" priority="556" operator="equal" aboveAverage="0" equalAverage="0" bottom="0" percent="0" rank="0" text="" dxfId="56">
      <formula>"GCaMP3Thy1"</formula>
    </cfRule>
    <cfRule type="cellIs" priority="557" operator="equal" aboveAverage="0" equalAverage="0" bottom="0" percent="0" rank="0" text="" dxfId="57">
      <formula>"TdTom - Flox"</formula>
    </cfRule>
    <cfRule type="cellIs" priority="558" operator="equal" aboveAverage="0" equalAverage="0" bottom="0" percent="0" rank="0" text="" dxfId="58">
      <formula>"Bl6"</formula>
    </cfRule>
    <cfRule type="expression" priority="559" aboveAverage="0" equalAverage="0" bottom="0" percent="0" rank="0" text="" dxfId="59">
      <formula>LEN(TRIM(C43))=0</formula>
    </cfRule>
  </conditionalFormatting>
  <conditionalFormatting sqref="C42:H42">
    <cfRule type="cellIs" priority="560" operator="equal" aboveAverage="0" equalAverage="0" bottom="0" percent="0" rank="0" text="" dxfId="50">
      <formula>"PvCre"</formula>
    </cfRule>
    <cfRule type="cellIs" priority="561" operator="equal" aboveAverage="0" equalAverage="0" bottom="0" percent="0" rank="0" text="" dxfId="51">
      <formula>"Calb2-Cre"</formula>
    </cfRule>
    <cfRule type="cellIs" priority="562" operator="equal" aboveAverage="0" equalAverage="0" bottom="0" percent="0" rank="0" text="" dxfId="52">
      <formula>"FlCx36-KO (hom)"</formula>
    </cfRule>
    <cfRule type="cellIs" priority="563" operator="equal" aboveAverage="0" equalAverage="0" bottom="0" percent="0" rank="0" text="" dxfId="53">
      <formula>"FLCx36KO_Cx36FLX_PvCre"</formula>
    </cfRule>
    <cfRule type="cellIs" priority="564" operator="equal" aboveAverage="0" equalAverage="0" bottom="0" percent="0" rank="0" text="" dxfId="54">
      <formula>"PVCre?"</formula>
    </cfRule>
    <cfRule type="cellIs" priority="565" operator="equal" aboveAverage="0" equalAverage="0" bottom="0" percent="0" rank="0" text="" dxfId="55">
      <formula>"FlCx36-KO x PVCre"</formula>
    </cfRule>
    <cfRule type="cellIs" priority="566" operator="equal" aboveAverage="0" equalAverage="0" bottom="0" percent="0" rank="0" text="" dxfId="56">
      <formula>"GCaMP3Thy1"</formula>
    </cfRule>
    <cfRule type="cellIs" priority="567" operator="equal" aboveAverage="0" equalAverage="0" bottom="0" percent="0" rank="0" text="" dxfId="57">
      <formula>"TdTom - Flox"</formula>
    </cfRule>
    <cfRule type="cellIs" priority="568" operator="equal" aboveAverage="0" equalAverage="0" bottom="0" percent="0" rank="0" text="" dxfId="58">
      <formula>"Bl6"</formula>
    </cfRule>
    <cfRule type="expression" priority="569" aboveAverage="0" equalAverage="0" bottom="0" percent="0" rank="0" text="" dxfId="59">
      <formula>LEN(TRIM(C42))=0</formula>
    </cfRule>
  </conditionalFormatting>
  <conditionalFormatting sqref="F42">
    <cfRule type="cellIs" priority="570" operator="greaterThan" aboveAverage="0" equalAverage="0" bottom="0" percent="0" rank="0" text="" dxfId="60">
      <formula>5</formula>
    </cfRule>
    <cfRule type="cellIs" priority="571" operator="lessThan" aboveAverage="0" equalAverage="0" bottom="0" percent="0" rank="0" text="" dxfId="61">
      <formula>2</formula>
    </cfRule>
  </conditionalFormatting>
  <conditionalFormatting sqref="E42">
    <cfRule type="cellIs" priority="572" operator="equal" aboveAverage="0" equalAverage="0" bottom="0" percent="0" rank="0" text="" dxfId="49">
      <formula>"TP"</formula>
    </cfRule>
  </conditionalFormatting>
  <conditionalFormatting sqref="E41">
    <cfRule type="cellIs" priority="573" operator="equal" aboveAverage="0" equalAverage="0" bottom="0" percent="0" rank="0" text="" dxfId="49">
      <formula>"TP"</formula>
    </cfRule>
  </conditionalFormatting>
  <conditionalFormatting sqref="F41">
    <cfRule type="cellIs" priority="574" operator="greaterThan" aboveAverage="0" equalAverage="0" bottom="0" percent="0" rank="0" text="" dxfId="60">
      <formula>5</formula>
    </cfRule>
    <cfRule type="cellIs" priority="575" operator="lessThan" aboveAverage="0" equalAverage="0" bottom="0" percent="0" rank="0" text="" dxfId="61">
      <formula>2</formula>
    </cfRule>
  </conditionalFormatting>
  <conditionalFormatting sqref="C41:I41 D50:D51 D53 D55">
    <cfRule type="cellIs" priority="576" operator="equal" aboveAverage="0" equalAverage="0" bottom="0" percent="0" rank="0" text="" dxfId="50">
      <formula>"PvCre"</formula>
    </cfRule>
    <cfRule type="cellIs" priority="577" operator="equal" aboveAverage="0" equalAverage="0" bottom="0" percent="0" rank="0" text="" dxfId="51">
      <formula>"Calb2-Cre"</formula>
    </cfRule>
    <cfRule type="cellIs" priority="578" operator="equal" aboveAverage="0" equalAverage="0" bottom="0" percent="0" rank="0" text="" dxfId="52">
      <formula>"FlCx36-KO (hom)"</formula>
    </cfRule>
    <cfRule type="cellIs" priority="579" operator="equal" aboveAverage="0" equalAverage="0" bottom="0" percent="0" rank="0" text="" dxfId="53">
      <formula>"FLCx36KO_Cx36FLX_PvCre"</formula>
    </cfRule>
    <cfRule type="cellIs" priority="580" operator="equal" aboveAverage="0" equalAverage="0" bottom="0" percent="0" rank="0" text="" dxfId="54">
      <formula>"PVCre?"</formula>
    </cfRule>
    <cfRule type="cellIs" priority="581" operator="equal" aboveAverage="0" equalAverage="0" bottom="0" percent="0" rank="0" text="" dxfId="55">
      <formula>"FlCx36-KO x PVCre"</formula>
    </cfRule>
    <cfRule type="cellIs" priority="582" operator="equal" aboveAverage="0" equalAverage="0" bottom="0" percent="0" rank="0" text="" dxfId="56">
      <formula>"GCaMP3Thy1"</formula>
    </cfRule>
    <cfRule type="cellIs" priority="583" operator="equal" aboveAverage="0" equalAverage="0" bottom="0" percent="0" rank="0" text="" dxfId="57">
      <formula>"TdTom - Flox"</formula>
    </cfRule>
    <cfRule type="cellIs" priority="584" operator="equal" aboveAverage="0" equalAverage="0" bottom="0" percent="0" rank="0" text="" dxfId="58">
      <formula>"Bl6"</formula>
    </cfRule>
    <cfRule type="expression" priority="585" aboveAverage="0" equalAverage="0" bottom="0" percent="0" rank="0" text="" dxfId="59">
      <formula>LEN(TRIM(C41))=0</formula>
    </cfRule>
  </conditionalFormatting>
  <conditionalFormatting sqref="I41">
    <cfRule type="containsText" priority="586" operator="containsText" aboveAverage="0" equalAverage="0" bottom="0" percent="0" rank="0" text="használni" dxfId="62">
      <formula>NOT(ISERROR(SEARCH("használni",I41)))</formula>
    </cfRule>
  </conditionalFormatting>
  <conditionalFormatting sqref="C40:H40">
    <cfRule type="cellIs" priority="587" operator="equal" aboveAverage="0" equalAverage="0" bottom="0" percent="0" rank="0" text="" dxfId="50">
      <formula>"PvCre"</formula>
    </cfRule>
    <cfRule type="cellIs" priority="588" operator="equal" aboveAverage="0" equalAverage="0" bottom="0" percent="0" rank="0" text="" dxfId="51">
      <formula>"Calb2-Cre"</formula>
    </cfRule>
    <cfRule type="cellIs" priority="589" operator="equal" aboveAverage="0" equalAverage="0" bottom="0" percent="0" rank="0" text="" dxfId="52">
      <formula>"FlCx36-KO (hom)"</formula>
    </cfRule>
    <cfRule type="cellIs" priority="590" operator="equal" aboveAverage="0" equalAverage="0" bottom="0" percent="0" rank="0" text="" dxfId="53">
      <formula>"FLCx36KO_Cx36FLX_PvCre"</formula>
    </cfRule>
    <cfRule type="cellIs" priority="591" operator="equal" aboveAverage="0" equalAverage="0" bottom="0" percent="0" rank="0" text="" dxfId="54">
      <formula>"PVCre?"</formula>
    </cfRule>
    <cfRule type="cellIs" priority="592" operator="equal" aboveAverage="0" equalAverage="0" bottom="0" percent="0" rank="0" text="" dxfId="55">
      <formula>"FlCx36-KO x PVCre"</formula>
    </cfRule>
    <cfRule type="cellIs" priority="593" operator="equal" aboveAverage="0" equalAverage="0" bottom="0" percent="0" rank="0" text="" dxfId="56">
      <formula>"GCaMP3Thy1"</formula>
    </cfRule>
    <cfRule type="cellIs" priority="594" operator="equal" aboveAverage="0" equalAverage="0" bottom="0" percent="0" rank="0" text="" dxfId="57">
      <formula>"TdTom - Flox"</formula>
    </cfRule>
    <cfRule type="cellIs" priority="595" operator="equal" aboveAverage="0" equalAverage="0" bottom="0" percent="0" rank="0" text="" dxfId="58">
      <formula>"Bl6"</formula>
    </cfRule>
    <cfRule type="expression" priority="596" aboveAverage="0" equalAverage="0" bottom="0" percent="0" rank="0" text="" dxfId="59">
      <formula>LEN(TRIM(C40))=0</formula>
    </cfRule>
  </conditionalFormatting>
  <conditionalFormatting sqref="E40">
    <cfRule type="cellIs" priority="597" operator="equal" aboveAverage="0" equalAverage="0" bottom="0" percent="0" rank="0" text="" dxfId="49">
      <formula>"TP"</formula>
    </cfRule>
  </conditionalFormatting>
  <conditionalFormatting sqref="F40">
    <cfRule type="cellIs" priority="598" operator="greaterThan" aboveAverage="0" equalAverage="0" bottom="0" percent="0" rank="0" text="" dxfId="60">
      <formula>5</formula>
    </cfRule>
    <cfRule type="cellIs" priority="599" operator="lessThan" aboveAverage="0" equalAverage="0" bottom="0" percent="0" rank="0" text="" dxfId="61">
      <formula>2</formula>
    </cfRule>
  </conditionalFormatting>
  <conditionalFormatting sqref="E39">
    <cfRule type="cellIs" priority="600" operator="equal" aboveAverage="0" equalAverage="0" bottom="0" percent="0" rank="0" text="" dxfId="49">
      <formula>"TP"</formula>
    </cfRule>
  </conditionalFormatting>
  <conditionalFormatting sqref="I31 I39">
    <cfRule type="containsText" priority="601" operator="containsText" aboveAverage="0" equalAverage="0" bottom="0" percent="0" rank="0" text="használni" dxfId="62">
      <formula>NOT(ISERROR(SEARCH("használni",I31)))</formula>
    </cfRule>
  </conditionalFormatting>
  <conditionalFormatting sqref="C39 D39:D40 E39:I39 I31">
    <cfRule type="cellIs" priority="602" operator="equal" aboveAverage="0" equalAverage="0" bottom="0" percent="0" rank="0" text="" dxfId="50">
      <formula>"PvCre"</formula>
    </cfRule>
    <cfRule type="cellIs" priority="603" operator="equal" aboveAverage="0" equalAverage="0" bottom="0" percent="0" rank="0" text="" dxfId="51">
      <formula>"Calb2-Cre"</formula>
    </cfRule>
    <cfRule type="cellIs" priority="604" operator="equal" aboveAverage="0" equalAverage="0" bottom="0" percent="0" rank="0" text="" dxfId="52">
      <formula>"FlCx36-KO (hom)"</formula>
    </cfRule>
    <cfRule type="cellIs" priority="605" operator="equal" aboveAverage="0" equalAverage="0" bottom="0" percent="0" rank="0" text="" dxfId="53">
      <formula>"FLCx36KO_Cx36FLX_PvCre"</formula>
    </cfRule>
    <cfRule type="cellIs" priority="606" operator="equal" aboveAverage="0" equalAverage="0" bottom="0" percent="0" rank="0" text="" dxfId="54">
      <formula>"PVCre?"</formula>
    </cfRule>
    <cfRule type="cellIs" priority="607" operator="equal" aboveAverage="0" equalAverage="0" bottom="0" percent="0" rank="0" text="" dxfId="55">
      <formula>"FlCx36-KO x PVCre"</formula>
    </cfRule>
    <cfRule type="cellIs" priority="608" operator="equal" aboveAverage="0" equalAverage="0" bottom="0" percent="0" rank="0" text="" dxfId="56">
      <formula>"GCaMP3Thy1"</formula>
    </cfRule>
    <cfRule type="cellIs" priority="609" operator="equal" aboveAverage="0" equalAverage="0" bottom="0" percent="0" rank="0" text="" dxfId="57">
      <formula>"TdTom - Flox"</formula>
    </cfRule>
    <cfRule type="cellIs" priority="610" operator="equal" aboveAverage="0" equalAverage="0" bottom="0" percent="0" rank="0" text="" dxfId="58">
      <formula>"Bl6"</formula>
    </cfRule>
    <cfRule type="expression" priority="611" aboveAverage="0" equalAverage="0" bottom="0" percent="0" rank="0" text="" dxfId="59">
      <formula>LEN(TRIM(C39))=0</formula>
    </cfRule>
  </conditionalFormatting>
  <conditionalFormatting sqref="F39">
    <cfRule type="cellIs" priority="612" operator="greaterThan" aboveAverage="0" equalAverage="0" bottom="0" percent="0" rank="0" text="" dxfId="60">
      <formula>5</formula>
    </cfRule>
    <cfRule type="cellIs" priority="613" operator="lessThan" aboveAverage="0" equalAverage="0" bottom="0" percent="0" rank="0" text="" dxfId="61">
      <formula>2</formula>
    </cfRule>
  </conditionalFormatting>
  <conditionalFormatting sqref="C38 D23 D38:D40 D50 D52:D53 D55:D58 D61 E38:H38">
    <cfRule type="cellIs" priority="614" operator="equal" aboveAverage="0" equalAverage="0" bottom="0" percent="0" rank="0" text="" dxfId="50">
      <formula>"PvCre"</formula>
    </cfRule>
    <cfRule type="cellIs" priority="615" operator="equal" aboveAverage="0" equalAverage="0" bottom="0" percent="0" rank="0" text="" dxfId="51">
      <formula>"Calb2-Cre"</formula>
    </cfRule>
    <cfRule type="cellIs" priority="616" operator="equal" aboveAverage="0" equalAverage="0" bottom="0" percent="0" rank="0" text="" dxfId="52">
      <formula>"FlCx36-KO (hom)"</formula>
    </cfRule>
    <cfRule type="cellIs" priority="617" operator="equal" aboveAverage="0" equalAverage="0" bottom="0" percent="0" rank="0" text="" dxfId="53">
      <formula>"FLCx36KO_Cx36FLX_PvCre"</formula>
    </cfRule>
    <cfRule type="cellIs" priority="618" operator="equal" aboveAverage="0" equalAverage="0" bottom="0" percent="0" rank="0" text="" dxfId="54">
      <formula>"PVCre?"</formula>
    </cfRule>
    <cfRule type="cellIs" priority="619" operator="equal" aboveAverage="0" equalAverage="0" bottom="0" percent="0" rank="0" text="" dxfId="55">
      <formula>"FlCx36-KO x PVCre"</formula>
    </cfRule>
    <cfRule type="cellIs" priority="620" operator="equal" aboveAverage="0" equalAverage="0" bottom="0" percent="0" rank="0" text="" dxfId="56">
      <formula>"GCaMP3Thy1"</formula>
    </cfRule>
    <cfRule type="cellIs" priority="621" operator="equal" aboveAverage="0" equalAverage="0" bottom="0" percent="0" rank="0" text="" dxfId="57">
      <formula>"TdTom - Flox"</formula>
    </cfRule>
    <cfRule type="cellIs" priority="622" operator="equal" aboveAverage="0" equalAverage="0" bottom="0" percent="0" rank="0" text="" dxfId="58">
      <formula>"Bl6"</formula>
    </cfRule>
    <cfRule type="expression" priority="623" aboveAverage="0" equalAverage="0" bottom="0" percent="0" rank="0" text="" dxfId="59">
      <formula>LEN(TRIM(C38))=0</formula>
    </cfRule>
  </conditionalFormatting>
  <conditionalFormatting sqref="E38">
    <cfRule type="cellIs" priority="624" operator="equal" aboveAverage="0" equalAverage="0" bottom="0" percent="0" rank="0" text="" dxfId="49">
      <formula>"TP"</formula>
    </cfRule>
  </conditionalFormatting>
  <conditionalFormatting sqref="F38">
    <cfRule type="cellIs" priority="625" operator="greaterThan" aboveAverage="0" equalAverage="0" bottom="0" percent="0" rank="0" text="" dxfId="60">
      <formula>5</formula>
    </cfRule>
    <cfRule type="cellIs" priority="626" operator="lessThan" aboveAverage="0" equalAverage="0" bottom="0" percent="0" rank="0" text="" dxfId="61">
      <formula>2</formula>
    </cfRule>
  </conditionalFormatting>
  <conditionalFormatting sqref="I37">
    <cfRule type="containsText" priority="627" operator="containsText" aboveAverage="0" equalAverage="0" bottom="0" percent="0" rank="0" text="használni" dxfId="62">
      <formula>NOT(ISERROR(SEARCH("használni",I37)))</formula>
    </cfRule>
  </conditionalFormatting>
  <conditionalFormatting sqref="C37:I37">
    <cfRule type="cellIs" priority="628" operator="equal" aboveAverage="0" equalAverage="0" bottom="0" percent="0" rank="0" text="" dxfId="50">
      <formula>"PvCre"</formula>
    </cfRule>
    <cfRule type="cellIs" priority="629" operator="equal" aboveAverage="0" equalAverage="0" bottom="0" percent="0" rank="0" text="" dxfId="51">
      <formula>"Calb2-Cre"</formula>
    </cfRule>
    <cfRule type="cellIs" priority="630" operator="equal" aboveAverage="0" equalAverage="0" bottom="0" percent="0" rank="0" text="" dxfId="52">
      <formula>"FlCx36-KO (hom)"</formula>
    </cfRule>
    <cfRule type="cellIs" priority="631" operator="equal" aboveAverage="0" equalAverage="0" bottom="0" percent="0" rank="0" text="" dxfId="53">
      <formula>"FLCx36KO_Cx36FLX_PvCre"</formula>
    </cfRule>
    <cfRule type="cellIs" priority="632" operator="equal" aboveAverage="0" equalAverage="0" bottom="0" percent="0" rank="0" text="" dxfId="54">
      <formula>"PVCre?"</formula>
    </cfRule>
    <cfRule type="cellIs" priority="633" operator="equal" aboveAverage="0" equalAverage="0" bottom="0" percent="0" rank="0" text="" dxfId="55">
      <formula>"FlCx36-KO x PVCre"</formula>
    </cfRule>
    <cfRule type="cellIs" priority="634" operator="equal" aboveAverage="0" equalAverage="0" bottom="0" percent="0" rank="0" text="" dxfId="56">
      <formula>"GCaMP3Thy1"</formula>
    </cfRule>
    <cfRule type="cellIs" priority="635" operator="equal" aboveAverage="0" equalAverage="0" bottom="0" percent="0" rank="0" text="" dxfId="57">
      <formula>"TdTom - Flox"</formula>
    </cfRule>
    <cfRule type="cellIs" priority="636" operator="equal" aboveAverage="0" equalAverage="0" bottom="0" percent="0" rank="0" text="" dxfId="58">
      <formula>"Bl6"</formula>
    </cfRule>
    <cfRule type="expression" priority="637" aboveAverage="0" equalAverage="0" bottom="0" percent="0" rank="0" text="" dxfId="59">
      <formula>LEN(TRIM(C37))=0</formula>
    </cfRule>
  </conditionalFormatting>
  <conditionalFormatting sqref="F37">
    <cfRule type="cellIs" priority="638" operator="greaterThan" aboveAverage="0" equalAverage="0" bottom="0" percent="0" rank="0" text="" dxfId="60">
      <formula>5</formula>
    </cfRule>
    <cfRule type="cellIs" priority="639" operator="lessThan" aboveAverage="0" equalAverage="0" bottom="0" percent="0" rank="0" text="" dxfId="61">
      <formula>2</formula>
    </cfRule>
  </conditionalFormatting>
  <conditionalFormatting sqref="E37">
    <cfRule type="cellIs" priority="640" operator="equal" aboveAverage="0" equalAverage="0" bottom="0" percent="0" rank="0" text="" dxfId="49">
      <formula>"TP"</formula>
    </cfRule>
  </conditionalFormatting>
  <conditionalFormatting sqref="I36">
    <cfRule type="containsText" priority="641" operator="containsText" aboveAverage="0" equalAverage="0" bottom="0" percent="0" rank="0" text="használni" dxfId="62">
      <formula>NOT(ISERROR(SEARCH("használni",I36)))</formula>
    </cfRule>
  </conditionalFormatting>
  <conditionalFormatting sqref="C36:I36 D41 J43">
    <cfRule type="cellIs" priority="642" operator="equal" aboveAverage="0" equalAverage="0" bottom="0" percent="0" rank="0" text="" dxfId="50">
      <formula>"PvCre"</formula>
    </cfRule>
    <cfRule type="cellIs" priority="643" operator="equal" aboveAverage="0" equalAverage="0" bottom="0" percent="0" rank="0" text="" dxfId="51">
      <formula>"Calb2-Cre"</formula>
    </cfRule>
    <cfRule type="cellIs" priority="644" operator="equal" aboveAverage="0" equalAverage="0" bottom="0" percent="0" rank="0" text="" dxfId="52">
      <formula>"FlCx36-KO (hom)"</formula>
    </cfRule>
    <cfRule type="cellIs" priority="645" operator="equal" aboveAverage="0" equalAverage="0" bottom="0" percent="0" rank="0" text="" dxfId="53">
      <formula>"FLCx36KO_Cx36FLX_PvCre"</formula>
    </cfRule>
    <cfRule type="cellIs" priority="646" operator="equal" aboveAverage="0" equalAverage="0" bottom="0" percent="0" rank="0" text="" dxfId="54">
      <formula>"PVCre?"</formula>
    </cfRule>
    <cfRule type="cellIs" priority="647" operator="equal" aboveAverage="0" equalAverage="0" bottom="0" percent="0" rank="0" text="" dxfId="55">
      <formula>"FlCx36-KO x PVCre"</formula>
    </cfRule>
    <cfRule type="cellIs" priority="648" operator="equal" aboveAverage="0" equalAverage="0" bottom="0" percent="0" rank="0" text="" dxfId="56">
      <formula>"GCaMP3Thy1"</formula>
    </cfRule>
    <cfRule type="cellIs" priority="649" operator="equal" aboveAverage="0" equalAverage="0" bottom="0" percent="0" rank="0" text="" dxfId="57">
      <formula>"TdTom - Flox"</formula>
    </cfRule>
    <cfRule type="cellIs" priority="650" operator="equal" aboveAverage="0" equalAverage="0" bottom="0" percent="0" rank="0" text="" dxfId="58">
      <formula>"Bl6"</formula>
    </cfRule>
    <cfRule type="expression" priority="651" aboveAverage="0" equalAverage="0" bottom="0" percent="0" rank="0" text="" dxfId="59">
      <formula>LEN(TRIM(C36))=0</formula>
    </cfRule>
  </conditionalFormatting>
  <conditionalFormatting sqref="E36">
    <cfRule type="cellIs" priority="652" operator="equal" aboveAverage="0" equalAverage="0" bottom="0" percent="0" rank="0" text="" dxfId="49">
      <formula>"TP"</formula>
    </cfRule>
  </conditionalFormatting>
  <conditionalFormatting sqref="F36">
    <cfRule type="cellIs" priority="653" operator="greaterThan" aboveAverage="0" equalAverage="0" bottom="0" percent="0" rank="0" text="" dxfId="60">
      <formula>5</formula>
    </cfRule>
    <cfRule type="cellIs" priority="654" operator="lessThan" aboveAverage="0" equalAverage="0" bottom="0" percent="0" rank="0" text="" dxfId="61">
      <formula>2</formula>
    </cfRule>
  </conditionalFormatting>
  <conditionalFormatting sqref="J43">
    <cfRule type="containsText" priority="655" operator="containsText" aboveAverage="0" equalAverage="0" bottom="0" percent="0" rank="0" text="Gergő" dxfId="63">
      <formula>NOT(ISERROR(SEARCH("Gergő",J43)))</formula>
    </cfRule>
  </conditionalFormatting>
  <conditionalFormatting sqref="E35">
    <cfRule type="cellIs" priority="656" operator="equal" aboveAverage="0" equalAverage="0" bottom="0" percent="0" rank="0" text="" dxfId="49">
      <formula>"TP"</formula>
    </cfRule>
  </conditionalFormatting>
  <conditionalFormatting sqref="F35">
    <cfRule type="cellIs" priority="657" operator="greaterThan" aboveAverage="0" equalAverage="0" bottom="0" percent="0" rank="0" text="" dxfId="60">
      <formula>5</formula>
    </cfRule>
    <cfRule type="cellIs" priority="658" operator="lessThan" aboveAverage="0" equalAverage="0" bottom="0" percent="0" rank="0" text="" dxfId="61">
      <formula>2</formula>
    </cfRule>
  </conditionalFormatting>
  <conditionalFormatting sqref="C35:H35 D43 D69">
    <cfRule type="cellIs" priority="659" operator="equal" aboveAverage="0" equalAverage="0" bottom="0" percent="0" rank="0" text="" dxfId="50">
      <formula>"PvCre"</formula>
    </cfRule>
    <cfRule type="cellIs" priority="660" operator="equal" aboveAverage="0" equalAverage="0" bottom="0" percent="0" rank="0" text="" dxfId="51">
      <formula>"Calb2-Cre"</formula>
    </cfRule>
    <cfRule type="cellIs" priority="661" operator="equal" aboveAverage="0" equalAverage="0" bottom="0" percent="0" rank="0" text="" dxfId="52">
      <formula>"FlCx36-KO (hom)"</formula>
    </cfRule>
    <cfRule type="cellIs" priority="662" operator="equal" aboveAverage="0" equalAverage="0" bottom="0" percent="0" rank="0" text="" dxfId="53">
      <formula>"FLCx36KO_Cx36FLX_PvCre"</formula>
    </cfRule>
    <cfRule type="cellIs" priority="663" operator="equal" aboveAverage="0" equalAverage="0" bottom="0" percent="0" rank="0" text="" dxfId="54">
      <formula>"PVCre?"</formula>
    </cfRule>
    <cfRule type="cellIs" priority="664" operator="equal" aboveAverage="0" equalAverage="0" bottom="0" percent="0" rank="0" text="" dxfId="55">
      <formula>"FlCx36-KO x PVCre"</formula>
    </cfRule>
    <cfRule type="cellIs" priority="665" operator="equal" aboveAverage="0" equalAverage="0" bottom="0" percent="0" rank="0" text="" dxfId="56">
      <formula>"GCaMP3Thy1"</formula>
    </cfRule>
    <cfRule type="cellIs" priority="666" operator="equal" aboveAverage="0" equalAverage="0" bottom="0" percent="0" rank="0" text="" dxfId="57">
      <formula>"TdTom - Flox"</formula>
    </cfRule>
    <cfRule type="cellIs" priority="667" operator="equal" aboveAverage="0" equalAverage="0" bottom="0" percent="0" rank="0" text="" dxfId="58">
      <formula>"Bl6"</formula>
    </cfRule>
    <cfRule type="expression" priority="668" aboveAverage="0" equalAverage="0" bottom="0" percent="0" rank="0" text="" dxfId="59">
      <formula>LEN(TRIM(C35))=0</formula>
    </cfRule>
  </conditionalFormatting>
  <conditionalFormatting sqref="F33">
    <cfRule type="cellIs" priority="669" operator="greaterThan" aboveAverage="0" equalAverage="0" bottom="0" percent="0" rank="0" text="" dxfId="60">
      <formula>5</formula>
    </cfRule>
    <cfRule type="cellIs" priority="670" operator="lessThan" aboveAverage="0" equalAverage="0" bottom="0" percent="0" rank="0" text="" dxfId="61">
      <formula>2</formula>
    </cfRule>
  </conditionalFormatting>
  <conditionalFormatting sqref="C33 D10:D11 D15 D33:D34 E33:G33">
    <cfRule type="cellIs" priority="671" operator="equal" aboveAverage="0" equalAverage="0" bottom="0" percent="0" rank="0" text="" dxfId="50">
      <formula>"PvCre"</formula>
    </cfRule>
    <cfRule type="cellIs" priority="672" operator="equal" aboveAverage="0" equalAverage="0" bottom="0" percent="0" rank="0" text="" dxfId="51">
      <formula>"Calb2-Cre"</formula>
    </cfRule>
    <cfRule type="cellIs" priority="673" operator="equal" aboveAverage="0" equalAverage="0" bottom="0" percent="0" rank="0" text="" dxfId="52">
      <formula>"FlCx36-KO (hom)"</formula>
    </cfRule>
    <cfRule type="cellIs" priority="674" operator="equal" aboveAverage="0" equalAverage="0" bottom="0" percent="0" rank="0" text="" dxfId="53">
      <formula>"FLCx36KO_Cx36FLX_PvCre"</formula>
    </cfRule>
    <cfRule type="cellIs" priority="675" operator="equal" aboveAverage="0" equalAverage="0" bottom="0" percent="0" rank="0" text="" dxfId="54">
      <formula>"PVCre?"</formula>
    </cfRule>
    <cfRule type="cellIs" priority="676" operator="equal" aboveAverage="0" equalAverage="0" bottom="0" percent="0" rank="0" text="" dxfId="55">
      <formula>"FlCx36-KO x PVCre"</formula>
    </cfRule>
    <cfRule type="cellIs" priority="677" operator="equal" aboveAverage="0" equalAverage="0" bottom="0" percent="0" rank="0" text="" dxfId="56">
      <formula>"GCaMP3Thy1"</formula>
    </cfRule>
    <cfRule type="cellIs" priority="678" operator="equal" aboveAverage="0" equalAverage="0" bottom="0" percent="0" rank="0" text="" dxfId="57">
      <formula>"TdTom - Flox"</formula>
    </cfRule>
    <cfRule type="cellIs" priority="679" operator="equal" aboveAverage="0" equalAverage="0" bottom="0" percent="0" rank="0" text="" dxfId="58">
      <formula>"Bl6"</formula>
    </cfRule>
    <cfRule type="expression" priority="680" aboveAverage="0" equalAverage="0" bottom="0" percent="0" rank="0" text="" dxfId="59">
      <formula>LEN(TRIM(C33))=0</formula>
    </cfRule>
  </conditionalFormatting>
  <conditionalFormatting sqref="E33">
    <cfRule type="cellIs" priority="681" operator="equal" aboveAverage="0" equalAverage="0" bottom="0" percent="0" rank="0" text="" dxfId="49">
      <formula>"TP"</formula>
    </cfRule>
  </conditionalFormatting>
  <conditionalFormatting sqref="C32 D10:D11 D15 D32:D34 E32:G33">
    <cfRule type="cellIs" priority="682" operator="equal" aboveAverage="0" equalAverage="0" bottom="0" percent="0" rank="0" text="" dxfId="50">
      <formula>"PvCre"</formula>
    </cfRule>
    <cfRule type="cellIs" priority="683" operator="equal" aboveAverage="0" equalAverage="0" bottom="0" percent="0" rank="0" text="" dxfId="51">
      <formula>"Calb2-Cre"</formula>
    </cfRule>
    <cfRule type="cellIs" priority="684" operator="equal" aboveAverage="0" equalAverage="0" bottom="0" percent="0" rank="0" text="" dxfId="52">
      <formula>"FlCx36-KO (hom)"</formula>
    </cfRule>
    <cfRule type="cellIs" priority="685" operator="equal" aboveAverage="0" equalAverage="0" bottom="0" percent="0" rank="0" text="" dxfId="53">
      <formula>"FLCx36KO_Cx36FLX_PvCre"</formula>
    </cfRule>
    <cfRule type="cellIs" priority="686" operator="equal" aboveAverage="0" equalAverage="0" bottom="0" percent="0" rank="0" text="" dxfId="54">
      <formula>"PVCre?"</formula>
    </cfRule>
    <cfRule type="cellIs" priority="687" operator="equal" aboveAverage="0" equalAverage="0" bottom="0" percent="0" rank="0" text="" dxfId="55">
      <formula>"FlCx36-KO x PVCre"</formula>
    </cfRule>
    <cfRule type="cellIs" priority="688" operator="equal" aboveAverage="0" equalAverage="0" bottom="0" percent="0" rank="0" text="" dxfId="56">
      <formula>"GCaMP3Thy1"</formula>
    </cfRule>
    <cfRule type="cellIs" priority="689" operator="equal" aboveAverage="0" equalAverage="0" bottom="0" percent="0" rank="0" text="" dxfId="57">
      <formula>"TdTom - Flox"</formula>
    </cfRule>
    <cfRule type="cellIs" priority="690" operator="equal" aboveAverage="0" equalAverage="0" bottom="0" percent="0" rank="0" text="" dxfId="58">
      <formula>"Bl6"</formula>
    </cfRule>
    <cfRule type="expression" priority="691" aboveAverage="0" equalAverage="0" bottom="0" percent="0" rank="0" text="" dxfId="59">
      <formula>LEN(TRIM(C32))=0</formula>
    </cfRule>
  </conditionalFormatting>
  <conditionalFormatting sqref="E32:E33">
    <cfRule type="cellIs" priority="692" operator="equal" aboveAverage="0" equalAverage="0" bottom="0" percent="0" rank="0" text="" dxfId="49">
      <formula>"TP"</formula>
    </cfRule>
  </conditionalFormatting>
  <conditionalFormatting sqref="F32:F33">
    <cfRule type="cellIs" priority="693" operator="greaterThan" aboveAverage="0" equalAverage="0" bottom="0" percent="0" rank="0" text="" dxfId="60">
      <formula>5</formula>
    </cfRule>
    <cfRule type="cellIs" priority="694" operator="lessThan" aboveAverage="0" equalAverage="0" bottom="0" percent="0" rank="0" text="" dxfId="61">
      <formula>2</formula>
    </cfRule>
  </conditionalFormatting>
  <conditionalFormatting sqref="E31">
    <cfRule type="cellIs" priority="695" operator="equal" aboveAverage="0" equalAverage="0" bottom="0" percent="0" rank="0" text="" dxfId="49">
      <formula>"TP"</formula>
    </cfRule>
  </conditionalFormatting>
  <conditionalFormatting sqref="C31:I31 D35 D43 D69">
    <cfRule type="cellIs" priority="696" operator="equal" aboveAverage="0" equalAverage="0" bottom="0" percent="0" rank="0" text="" dxfId="50">
      <formula>"PvCre"</formula>
    </cfRule>
    <cfRule type="cellIs" priority="697" operator="equal" aboveAverage="0" equalAverage="0" bottom="0" percent="0" rank="0" text="" dxfId="51">
      <formula>"Calb2-Cre"</formula>
    </cfRule>
    <cfRule type="cellIs" priority="698" operator="equal" aboveAverage="0" equalAverage="0" bottom="0" percent="0" rank="0" text="" dxfId="52">
      <formula>"FlCx36-KO (hom)"</formula>
    </cfRule>
    <cfRule type="cellIs" priority="699" operator="equal" aboveAverage="0" equalAverage="0" bottom="0" percent="0" rank="0" text="" dxfId="53">
      <formula>"FLCx36KO_Cx36FLX_PvCre"</formula>
    </cfRule>
    <cfRule type="cellIs" priority="700" operator="equal" aboveAverage="0" equalAverage="0" bottom="0" percent="0" rank="0" text="" dxfId="54">
      <formula>"PVCre?"</formula>
    </cfRule>
    <cfRule type="cellIs" priority="701" operator="equal" aboveAverage="0" equalAverage="0" bottom="0" percent="0" rank="0" text="" dxfId="55">
      <formula>"FlCx36-KO x PVCre"</formula>
    </cfRule>
    <cfRule type="cellIs" priority="702" operator="equal" aboveAverage="0" equalAverage="0" bottom="0" percent="0" rank="0" text="" dxfId="56">
      <formula>"GCaMP3Thy1"</formula>
    </cfRule>
    <cfRule type="cellIs" priority="703" operator="equal" aboveAverage="0" equalAverage="0" bottom="0" percent="0" rank="0" text="" dxfId="57">
      <formula>"TdTom - Flox"</formula>
    </cfRule>
    <cfRule type="cellIs" priority="704" operator="equal" aboveAverage="0" equalAverage="0" bottom="0" percent="0" rank="0" text="" dxfId="58">
      <formula>"Bl6"</formula>
    </cfRule>
    <cfRule type="expression" priority="705" aboveAverage="0" equalAverage="0" bottom="0" percent="0" rank="0" text="" dxfId="59">
      <formula>LEN(TRIM(C31))=0</formula>
    </cfRule>
  </conditionalFormatting>
  <conditionalFormatting sqref="F31">
    <cfRule type="cellIs" priority="706" operator="greaterThan" aboveAverage="0" equalAverage="0" bottom="0" percent="0" rank="0" text="" dxfId="60">
      <formula>5</formula>
    </cfRule>
    <cfRule type="cellIs" priority="707" operator="lessThan" aboveAverage="0" equalAverage="0" bottom="0" percent="0" rank="0" text="" dxfId="61">
      <formula>2</formula>
    </cfRule>
  </conditionalFormatting>
  <conditionalFormatting sqref="I31">
    <cfRule type="containsText" priority="708" operator="containsText" aboveAverage="0" equalAverage="0" bottom="0" percent="0" rank="0" text="használni" dxfId="62">
      <formula>NOT(ISERROR(SEARCH("használni",I31)))</formula>
    </cfRule>
  </conditionalFormatting>
  <conditionalFormatting sqref="E30">
    <cfRule type="cellIs" priority="709" operator="equal" aboveAverage="0" equalAverage="0" bottom="0" percent="0" rank="0" text="" dxfId="49">
      <formula>"TP"</formula>
    </cfRule>
  </conditionalFormatting>
  <conditionalFormatting sqref="C30:H30 D10:D11 D15 D32:D34">
    <cfRule type="cellIs" priority="710" operator="equal" aboveAverage="0" equalAverage="0" bottom="0" percent="0" rank="0" text="" dxfId="50">
      <formula>"PvCre"</formula>
    </cfRule>
    <cfRule type="cellIs" priority="711" operator="equal" aboveAverage="0" equalAverage="0" bottom="0" percent="0" rank="0" text="" dxfId="51">
      <formula>"Calb2-Cre"</formula>
    </cfRule>
    <cfRule type="cellIs" priority="712" operator="equal" aboveAverage="0" equalAverage="0" bottom="0" percent="0" rank="0" text="" dxfId="52">
      <formula>"FlCx36-KO (hom)"</formula>
    </cfRule>
    <cfRule type="cellIs" priority="713" operator="equal" aboveAverage="0" equalAverage="0" bottom="0" percent="0" rank="0" text="" dxfId="53">
      <formula>"FLCx36KO_Cx36FLX_PvCre"</formula>
    </cfRule>
    <cfRule type="cellIs" priority="714" operator="equal" aboveAverage="0" equalAverage="0" bottom="0" percent="0" rank="0" text="" dxfId="54">
      <formula>"PVCre?"</formula>
    </cfRule>
    <cfRule type="cellIs" priority="715" operator="equal" aboveAverage="0" equalAverage="0" bottom="0" percent="0" rank="0" text="" dxfId="55">
      <formula>"FlCx36-KO x PVCre"</formula>
    </cfRule>
    <cfRule type="cellIs" priority="716" operator="equal" aboveAverage="0" equalAverage="0" bottom="0" percent="0" rank="0" text="" dxfId="56">
      <formula>"GCaMP3Thy1"</formula>
    </cfRule>
    <cfRule type="cellIs" priority="717" operator="equal" aboveAverage="0" equalAverage="0" bottom="0" percent="0" rank="0" text="" dxfId="57">
      <formula>"TdTom - Flox"</formula>
    </cfRule>
    <cfRule type="cellIs" priority="718" operator="equal" aboveAverage="0" equalAverage="0" bottom="0" percent="0" rank="0" text="" dxfId="58">
      <formula>"Bl6"</formula>
    </cfRule>
    <cfRule type="expression" priority="719" aboveAverage="0" equalAverage="0" bottom="0" percent="0" rank="0" text="" dxfId="59">
      <formula>LEN(TRIM(C30))=0</formula>
    </cfRule>
  </conditionalFormatting>
  <conditionalFormatting sqref="F30">
    <cfRule type="cellIs" priority="720" operator="greaterThan" aboveAverage="0" equalAverage="0" bottom="0" percent="0" rank="0" text="" dxfId="60">
      <formula>5</formula>
    </cfRule>
    <cfRule type="cellIs" priority="721" operator="lessThan" aboveAverage="0" equalAverage="0" bottom="0" percent="0" rank="0" text="" dxfId="61">
      <formula>2</formula>
    </cfRule>
  </conditionalFormatting>
  <conditionalFormatting sqref="F28">
    <cfRule type="cellIs" priority="722" operator="greaterThan" aboveAverage="0" equalAverage="0" bottom="0" percent="0" rank="0" text="" dxfId="60">
      <formula>5</formula>
    </cfRule>
    <cfRule type="cellIs" priority="723" operator="lessThan" aboveAverage="0" equalAverage="0" bottom="0" percent="0" rank="0" text="" dxfId="61">
      <formula>2</formula>
    </cfRule>
  </conditionalFormatting>
  <conditionalFormatting sqref="C28:H28">
    <cfRule type="cellIs" priority="724" operator="equal" aboveAverage="0" equalAverage="0" bottom="0" percent="0" rank="0" text="" dxfId="50">
      <formula>"PvCre"</formula>
    </cfRule>
    <cfRule type="cellIs" priority="725" operator="equal" aboveAverage="0" equalAverage="0" bottom="0" percent="0" rank="0" text="" dxfId="51">
      <formula>"Calb2-Cre"</formula>
    </cfRule>
    <cfRule type="cellIs" priority="726" operator="equal" aboveAverage="0" equalAverage="0" bottom="0" percent="0" rank="0" text="" dxfId="52">
      <formula>"FlCx36-KO (hom)"</formula>
    </cfRule>
    <cfRule type="cellIs" priority="727" operator="equal" aboveAverage="0" equalAverage="0" bottom="0" percent="0" rank="0" text="" dxfId="53">
      <formula>"FLCx36KO_Cx36FLX_PvCre"</formula>
    </cfRule>
    <cfRule type="cellIs" priority="728" operator="equal" aboveAverage="0" equalAverage="0" bottom="0" percent="0" rank="0" text="" dxfId="54">
      <formula>"PVCre?"</formula>
    </cfRule>
    <cfRule type="cellIs" priority="729" operator="equal" aboveAverage="0" equalAverage="0" bottom="0" percent="0" rank="0" text="" dxfId="55">
      <formula>"FlCx36-KO x PVCre"</formula>
    </cfRule>
    <cfRule type="cellIs" priority="730" operator="equal" aboveAverage="0" equalAverage="0" bottom="0" percent="0" rank="0" text="" dxfId="56">
      <formula>"GCaMP3Thy1"</formula>
    </cfRule>
    <cfRule type="cellIs" priority="731" operator="equal" aboveAverage="0" equalAverage="0" bottom="0" percent="0" rank="0" text="" dxfId="57">
      <formula>"TdTom - Flox"</formula>
    </cfRule>
    <cfRule type="cellIs" priority="732" operator="equal" aboveAverage="0" equalAverage="0" bottom="0" percent="0" rank="0" text="" dxfId="58">
      <formula>"Bl6"</formula>
    </cfRule>
    <cfRule type="expression" priority="733" aboveAverage="0" equalAverage="0" bottom="0" percent="0" rank="0" text="" dxfId="59">
      <formula>LEN(TRIM(C28))=0</formula>
    </cfRule>
  </conditionalFormatting>
  <conditionalFormatting sqref="E28">
    <cfRule type="cellIs" priority="734" operator="equal" aboveAverage="0" equalAverage="0" bottom="0" percent="0" rank="0" text="" dxfId="49">
      <formula>"TP"</formula>
    </cfRule>
  </conditionalFormatting>
  <conditionalFormatting sqref="C27:H27">
    <cfRule type="cellIs" priority="735" operator="equal" aboveAverage="0" equalAverage="0" bottom="0" percent="0" rank="0" text="" dxfId="50">
      <formula>"PvCre"</formula>
    </cfRule>
    <cfRule type="cellIs" priority="736" operator="equal" aboveAverage="0" equalAverage="0" bottom="0" percent="0" rank="0" text="" dxfId="51">
      <formula>"Calb2-Cre"</formula>
    </cfRule>
    <cfRule type="cellIs" priority="737" operator="equal" aboveAverage="0" equalAverage="0" bottom="0" percent="0" rank="0" text="" dxfId="52">
      <formula>"FlCx36-KO (hom)"</formula>
    </cfRule>
    <cfRule type="cellIs" priority="738" operator="equal" aboveAverage="0" equalAverage="0" bottom="0" percent="0" rank="0" text="" dxfId="53">
      <formula>"FLCx36KO_Cx36FLX_PvCre"</formula>
    </cfRule>
    <cfRule type="cellIs" priority="739" operator="equal" aboveAverage="0" equalAverage="0" bottom="0" percent="0" rank="0" text="" dxfId="54">
      <formula>"PVCre?"</formula>
    </cfRule>
    <cfRule type="cellIs" priority="740" operator="equal" aboveAverage="0" equalAverage="0" bottom="0" percent="0" rank="0" text="" dxfId="55">
      <formula>"FlCx36-KO x PVCre"</formula>
    </cfRule>
    <cfRule type="cellIs" priority="741" operator="equal" aboveAverage="0" equalAverage="0" bottom="0" percent="0" rank="0" text="" dxfId="56">
      <formula>"GCaMP3Thy1"</formula>
    </cfRule>
    <cfRule type="cellIs" priority="742" operator="equal" aboveAverage="0" equalAverage="0" bottom="0" percent="0" rank="0" text="" dxfId="57">
      <formula>"TdTom - Flox"</formula>
    </cfRule>
    <cfRule type="cellIs" priority="743" operator="equal" aboveAverage="0" equalAverage="0" bottom="0" percent="0" rank="0" text="" dxfId="58">
      <formula>"Bl6"</formula>
    </cfRule>
    <cfRule type="expression" priority="744" aboveAverage="0" equalAverage="0" bottom="0" percent="0" rank="0" text="" dxfId="59">
      <formula>LEN(TRIM(C27))=0</formula>
    </cfRule>
  </conditionalFormatting>
  <conditionalFormatting sqref="E27">
    <cfRule type="cellIs" priority="745" operator="equal" aboveAverage="0" equalAverage="0" bottom="0" percent="0" rank="0" text="" dxfId="49">
      <formula>"TP"</formula>
    </cfRule>
  </conditionalFormatting>
  <conditionalFormatting sqref="F27">
    <cfRule type="cellIs" priority="746" operator="greaterThan" aboveAverage="0" equalAverage="0" bottom="0" percent="0" rank="0" text="" dxfId="60">
      <formula>5</formula>
    </cfRule>
    <cfRule type="cellIs" priority="747" operator="lessThan" aboveAverage="0" equalAverage="0" bottom="0" percent="0" rank="0" text="" dxfId="61">
      <formula>2</formula>
    </cfRule>
  </conditionalFormatting>
  <conditionalFormatting sqref="C26:I26">
    <cfRule type="cellIs" priority="748" operator="equal" aboveAverage="0" equalAverage="0" bottom="0" percent="0" rank="0" text="" dxfId="50">
      <formula>"PvCre"</formula>
    </cfRule>
    <cfRule type="cellIs" priority="749" operator="equal" aboveAverage="0" equalAverage="0" bottom="0" percent="0" rank="0" text="" dxfId="51">
      <formula>"Calb2-Cre"</formula>
    </cfRule>
    <cfRule type="cellIs" priority="750" operator="equal" aboveAverage="0" equalAverage="0" bottom="0" percent="0" rank="0" text="" dxfId="52">
      <formula>"FlCx36-KO (hom)"</formula>
    </cfRule>
    <cfRule type="cellIs" priority="751" operator="equal" aboveAverage="0" equalAverage="0" bottom="0" percent="0" rank="0" text="" dxfId="53">
      <formula>"FLCx36KO_Cx36FLX_PvCre"</formula>
    </cfRule>
    <cfRule type="cellIs" priority="752" operator="equal" aboveAverage="0" equalAverage="0" bottom="0" percent="0" rank="0" text="" dxfId="54">
      <formula>"PVCre?"</formula>
    </cfRule>
    <cfRule type="cellIs" priority="753" operator="equal" aboveAverage="0" equalAverage="0" bottom="0" percent="0" rank="0" text="" dxfId="55">
      <formula>"FlCx36-KO x PVCre"</formula>
    </cfRule>
    <cfRule type="cellIs" priority="754" operator="equal" aboveAverage="0" equalAverage="0" bottom="0" percent="0" rank="0" text="" dxfId="56">
      <formula>"GCaMP3Thy1"</formula>
    </cfRule>
    <cfRule type="cellIs" priority="755" operator="equal" aboveAverage="0" equalAverage="0" bottom="0" percent="0" rank="0" text="" dxfId="57">
      <formula>"TdTom - Flox"</formula>
    </cfRule>
    <cfRule type="cellIs" priority="756" operator="equal" aboveAverage="0" equalAverage="0" bottom="0" percent="0" rank="0" text="" dxfId="58">
      <formula>"Bl6"</formula>
    </cfRule>
    <cfRule type="expression" priority="757" aboveAverage="0" equalAverage="0" bottom="0" percent="0" rank="0" text="" dxfId="59">
      <formula>LEN(TRIM(C26))=0</formula>
    </cfRule>
  </conditionalFormatting>
  <conditionalFormatting sqref="E26">
    <cfRule type="cellIs" priority="758" operator="equal" aboveAverage="0" equalAverage="0" bottom="0" percent="0" rank="0" text="" dxfId="49">
      <formula>"TP"</formula>
    </cfRule>
  </conditionalFormatting>
  <conditionalFormatting sqref="I26">
    <cfRule type="containsText" priority="759" operator="containsText" aboveAverage="0" equalAverage="0" bottom="0" percent="0" rank="0" text="használni" dxfId="62">
      <formula>NOT(ISERROR(SEARCH("használni",I26)))</formula>
    </cfRule>
  </conditionalFormatting>
  <conditionalFormatting sqref="F26">
    <cfRule type="cellIs" priority="760" operator="greaterThan" aboveAverage="0" equalAverage="0" bottom="0" percent="0" rank="0" text="" dxfId="60">
      <formula>5</formula>
    </cfRule>
    <cfRule type="cellIs" priority="761" operator="lessThan" aboveAverage="0" equalAverage="0" bottom="0" percent="0" rank="0" text="" dxfId="61">
      <formula>2</formula>
    </cfRule>
  </conditionalFormatting>
  <conditionalFormatting sqref="F25">
    <cfRule type="cellIs" priority="762" operator="greaterThan" aboveAverage="0" equalAverage="0" bottom="0" percent="0" rank="0" text="" dxfId="60">
      <formula>5</formula>
    </cfRule>
    <cfRule type="cellIs" priority="763" operator="lessThan" aboveAverage="0" equalAverage="0" bottom="0" percent="0" rank="0" text="" dxfId="61">
      <formula>2</formula>
    </cfRule>
  </conditionalFormatting>
  <conditionalFormatting sqref="C25 D25:D26 E25:I25">
    <cfRule type="cellIs" priority="764" operator="equal" aboveAverage="0" equalAverage="0" bottom="0" percent="0" rank="0" text="" dxfId="50">
      <formula>"PvCre"</formula>
    </cfRule>
    <cfRule type="cellIs" priority="765" operator="equal" aboveAverage="0" equalAverage="0" bottom="0" percent="0" rank="0" text="" dxfId="51">
      <formula>"Calb2-Cre"</formula>
    </cfRule>
    <cfRule type="cellIs" priority="766" operator="equal" aboveAverage="0" equalAverage="0" bottom="0" percent="0" rank="0" text="" dxfId="52">
      <formula>"FlCx36-KO (hom)"</formula>
    </cfRule>
    <cfRule type="cellIs" priority="767" operator="equal" aboveAverage="0" equalAverage="0" bottom="0" percent="0" rank="0" text="" dxfId="53">
      <formula>"FLCx36KO_Cx36FLX_PvCre"</formula>
    </cfRule>
    <cfRule type="cellIs" priority="768" operator="equal" aboveAverage="0" equalAverage="0" bottom="0" percent="0" rank="0" text="" dxfId="54">
      <formula>"PVCre?"</formula>
    </cfRule>
    <cfRule type="cellIs" priority="769" operator="equal" aboveAverage="0" equalAverage="0" bottom="0" percent="0" rank="0" text="" dxfId="55">
      <formula>"FlCx36-KO x PVCre"</formula>
    </cfRule>
    <cfRule type="cellIs" priority="770" operator="equal" aboveAverage="0" equalAverage="0" bottom="0" percent="0" rank="0" text="" dxfId="56">
      <formula>"GCaMP3Thy1"</formula>
    </cfRule>
    <cfRule type="cellIs" priority="771" operator="equal" aboveAverage="0" equalAverage="0" bottom="0" percent="0" rank="0" text="" dxfId="57">
      <formula>"TdTom - Flox"</formula>
    </cfRule>
    <cfRule type="cellIs" priority="772" operator="equal" aboveAverage="0" equalAverage="0" bottom="0" percent="0" rank="0" text="" dxfId="58">
      <formula>"Bl6"</formula>
    </cfRule>
    <cfRule type="expression" priority="773" aboveAverage="0" equalAverage="0" bottom="0" percent="0" rank="0" text="" dxfId="59">
      <formula>LEN(TRIM(C25))=0</formula>
    </cfRule>
  </conditionalFormatting>
  <conditionalFormatting sqref="I25">
    <cfRule type="containsText" priority="774" operator="containsText" aboveAverage="0" equalAverage="0" bottom="0" percent="0" rank="0" text="használni" dxfId="62">
      <formula>NOT(ISERROR(SEARCH("használni",I25)))</formula>
    </cfRule>
  </conditionalFormatting>
  <conditionalFormatting sqref="E25">
    <cfRule type="cellIs" priority="775" operator="equal" aboveAverage="0" equalAverage="0" bottom="0" percent="0" rank="0" text="" dxfId="49">
      <formula>"TP"</formula>
    </cfRule>
  </conditionalFormatting>
  <conditionalFormatting sqref="C24 D7:D12 D14:D16 D22 D24:D26 D30 D32:D34 D36 D41 E24:G25 H24:I24">
    <cfRule type="cellIs" priority="776" operator="equal" aboveAverage="0" equalAverage="0" bottom="0" percent="0" rank="0" text="" dxfId="50">
      <formula>"PvCre"</formula>
    </cfRule>
    <cfRule type="cellIs" priority="777" operator="equal" aboveAverage="0" equalAverage="0" bottom="0" percent="0" rank="0" text="" dxfId="51">
      <formula>"Calb2-Cre"</formula>
    </cfRule>
    <cfRule type="cellIs" priority="778" operator="equal" aboveAverage="0" equalAverage="0" bottom="0" percent="0" rank="0" text="" dxfId="52">
      <formula>"FlCx36-KO (hom)"</formula>
    </cfRule>
    <cfRule type="cellIs" priority="779" operator="equal" aboveAverage="0" equalAverage="0" bottom="0" percent="0" rank="0" text="" dxfId="53">
      <formula>"FLCx36KO_Cx36FLX_PvCre"</formula>
    </cfRule>
    <cfRule type="cellIs" priority="780" operator="equal" aboveAverage="0" equalAverage="0" bottom="0" percent="0" rank="0" text="" dxfId="54">
      <formula>"PVCre?"</formula>
    </cfRule>
    <cfRule type="cellIs" priority="781" operator="equal" aboveAverage="0" equalAverage="0" bottom="0" percent="0" rank="0" text="" dxfId="55">
      <formula>"FlCx36-KO x PVCre"</formula>
    </cfRule>
    <cfRule type="cellIs" priority="782" operator="equal" aboveAverage="0" equalAverage="0" bottom="0" percent="0" rank="0" text="" dxfId="56">
      <formula>"GCaMP3Thy1"</formula>
    </cfRule>
    <cfRule type="cellIs" priority="783" operator="equal" aboveAverage="0" equalAverage="0" bottom="0" percent="0" rank="0" text="" dxfId="57">
      <formula>"TdTom - Flox"</formula>
    </cfRule>
    <cfRule type="cellIs" priority="784" operator="equal" aboveAverage="0" equalAverage="0" bottom="0" percent="0" rank="0" text="" dxfId="58">
      <formula>"Bl6"</formula>
    </cfRule>
    <cfRule type="expression" priority="785" aboveAverage="0" equalAverage="0" bottom="0" percent="0" rank="0" text="" dxfId="59">
      <formula>LEN(TRIM(C24))=0</formula>
    </cfRule>
  </conditionalFormatting>
  <conditionalFormatting sqref="F24:F25">
    <cfRule type="cellIs" priority="786" operator="greaterThan" aboveAverage="0" equalAverage="0" bottom="0" percent="0" rank="0" text="" dxfId="60">
      <formula>5</formula>
    </cfRule>
    <cfRule type="cellIs" priority="787" operator="lessThan" aboveAverage="0" equalAverage="0" bottom="0" percent="0" rank="0" text="" dxfId="61">
      <formula>2</formula>
    </cfRule>
  </conditionalFormatting>
  <conditionalFormatting sqref="I24">
    <cfRule type="containsText" priority="788" operator="containsText" aboveAverage="0" equalAverage="0" bottom="0" percent="0" rank="0" text="használni" dxfId="62">
      <formula>NOT(ISERROR(SEARCH("használni",I24)))</formula>
    </cfRule>
  </conditionalFormatting>
  <conditionalFormatting sqref="E24:E25">
    <cfRule type="cellIs" priority="789" operator="equal" aboveAverage="0" equalAverage="0" bottom="0" percent="0" rank="0" text="" dxfId="49">
      <formula>"TP"</formula>
    </cfRule>
  </conditionalFormatting>
  <conditionalFormatting sqref="E23">
    <cfRule type="cellIs" priority="790" operator="equal" aboveAverage="0" equalAverage="0" bottom="0" percent="0" rank="0" text="" dxfId="49">
      <formula>"TP"</formula>
    </cfRule>
  </conditionalFormatting>
  <conditionalFormatting sqref="C23:H23">
    <cfRule type="cellIs" priority="791" operator="equal" aboveAverage="0" equalAverage="0" bottom="0" percent="0" rank="0" text="" dxfId="50">
      <formula>"PvCre"</formula>
    </cfRule>
    <cfRule type="cellIs" priority="792" operator="equal" aboveAverage="0" equalAverage="0" bottom="0" percent="0" rank="0" text="" dxfId="51">
      <formula>"Calb2-Cre"</formula>
    </cfRule>
    <cfRule type="cellIs" priority="793" operator="equal" aboveAverage="0" equalAverage="0" bottom="0" percent="0" rank="0" text="" dxfId="52">
      <formula>"FlCx36-KO (hom)"</formula>
    </cfRule>
    <cfRule type="cellIs" priority="794" operator="equal" aboveAverage="0" equalAverage="0" bottom="0" percent="0" rank="0" text="" dxfId="53">
      <formula>"FLCx36KO_Cx36FLX_PvCre"</formula>
    </cfRule>
    <cfRule type="cellIs" priority="795" operator="equal" aboveAverage="0" equalAverage="0" bottom="0" percent="0" rank="0" text="" dxfId="54">
      <formula>"PVCre?"</formula>
    </cfRule>
    <cfRule type="cellIs" priority="796" operator="equal" aboveAverage="0" equalAverage="0" bottom="0" percent="0" rank="0" text="" dxfId="55">
      <formula>"FlCx36-KO x PVCre"</formula>
    </cfRule>
    <cfRule type="cellIs" priority="797" operator="equal" aboveAverage="0" equalAverage="0" bottom="0" percent="0" rank="0" text="" dxfId="56">
      <formula>"GCaMP3Thy1"</formula>
    </cfRule>
    <cfRule type="cellIs" priority="798" operator="equal" aboveAverage="0" equalAverage="0" bottom="0" percent="0" rank="0" text="" dxfId="57">
      <formula>"TdTom - Flox"</formula>
    </cfRule>
    <cfRule type="cellIs" priority="799" operator="equal" aboveAverage="0" equalAverage="0" bottom="0" percent="0" rank="0" text="" dxfId="58">
      <formula>"Bl6"</formula>
    </cfRule>
    <cfRule type="expression" priority="800" aboveAverage="0" equalAverage="0" bottom="0" percent="0" rank="0" text="" dxfId="59">
      <formula>LEN(TRIM(C23))=0</formula>
    </cfRule>
  </conditionalFormatting>
  <conditionalFormatting sqref="F23">
    <cfRule type="cellIs" priority="801" operator="greaterThan" aboveAverage="0" equalAverage="0" bottom="0" percent="0" rank="0" text="" dxfId="60">
      <formula>5</formula>
    </cfRule>
    <cfRule type="cellIs" priority="802" operator="lessThan" aboveAverage="0" equalAverage="0" bottom="0" percent="0" rank="0" text="" dxfId="61">
      <formula>2</formula>
    </cfRule>
  </conditionalFormatting>
  <conditionalFormatting sqref="F22">
    <cfRule type="cellIs" priority="803" operator="greaterThan" aboveAverage="0" equalAverage="0" bottom="0" percent="0" rank="0" text="" dxfId="60">
      <formula>5</formula>
    </cfRule>
    <cfRule type="cellIs" priority="804" operator="lessThan" aboveAverage="0" equalAverage="0" bottom="0" percent="0" rank="0" text="" dxfId="61">
      <formula>2</formula>
    </cfRule>
  </conditionalFormatting>
  <conditionalFormatting sqref="C22:I22 D36 D41">
    <cfRule type="cellIs" priority="805" operator="equal" aboveAverage="0" equalAverage="0" bottom="0" percent="0" rank="0" text="" dxfId="50">
      <formula>"PvCre"</formula>
    </cfRule>
    <cfRule type="cellIs" priority="806" operator="equal" aboveAverage="0" equalAverage="0" bottom="0" percent="0" rank="0" text="" dxfId="51">
      <formula>"Calb2-Cre"</formula>
    </cfRule>
    <cfRule type="cellIs" priority="807" operator="equal" aboveAverage="0" equalAverage="0" bottom="0" percent="0" rank="0" text="" dxfId="52">
      <formula>"FlCx36-KO (hom)"</formula>
    </cfRule>
    <cfRule type="cellIs" priority="808" operator="equal" aboveAverage="0" equalAverage="0" bottom="0" percent="0" rank="0" text="" dxfId="53">
      <formula>"FLCx36KO_Cx36FLX_PvCre"</formula>
    </cfRule>
    <cfRule type="cellIs" priority="809" operator="equal" aboveAverage="0" equalAverage="0" bottom="0" percent="0" rank="0" text="" dxfId="54">
      <formula>"PVCre?"</formula>
    </cfRule>
    <cfRule type="cellIs" priority="810" operator="equal" aboveAverage="0" equalAverage="0" bottom="0" percent="0" rank="0" text="" dxfId="55">
      <formula>"FlCx36-KO x PVCre"</formula>
    </cfRule>
    <cfRule type="cellIs" priority="811" operator="equal" aboveAverage="0" equalAverage="0" bottom="0" percent="0" rank="0" text="" dxfId="56">
      <formula>"GCaMP3Thy1"</formula>
    </cfRule>
    <cfRule type="cellIs" priority="812" operator="equal" aboveAverage="0" equalAverage="0" bottom="0" percent="0" rank="0" text="" dxfId="57">
      <formula>"TdTom - Flox"</formula>
    </cfRule>
    <cfRule type="cellIs" priority="813" operator="equal" aboveAverage="0" equalAverage="0" bottom="0" percent="0" rank="0" text="" dxfId="58">
      <formula>"Bl6"</formula>
    </cfRule>
    <cfRule type="expression" priority="814" aboveAverage="0" equalAverage="0" bottom="0" percent="0" rank="0" text="" dxfId="59">
      <formula>LEN(TRIM(C22))=0</formula>
    </cfRule>
  </conditionalFormatting>
  <conditionalFormatting sqref="I22">
    <cfRule type="containsText" priority="815" operator="containsText" aboveAverage="0" equalAverage="0" bottom="0" percent="0" rank="0" text="használni" dxfId="62">
      <formula>NOT(ISERROR(SEARCH("használni",I22)))</formula>
    </cfRule>
  </conditionalFormatting>
  <conditionalFormatting sqref="E22">
    <cfRule type="cellIs" priority="816" operator="equal" aboveAverage="0" equalAverage="0" bottom="0" percent="0" rank="0" text="" dxfId="49">
      <formula>"TP"</formula>
    </cfRule>
  </conditionalFormatting>
  <conditionalFormatting sqref="F14:F15">
    <cfRule type="cellIs" priority="817" operator="greaterThan" aboveAverage="0" equalAverage="0" bottom="0" percent="0" rank="0" text="" dxfId="60">
      <formula>5</formula>
    </cfRule>
    <cfRule type="cellIs" priority="818" operator="lessThan" aboveAverage="0" equalAverage="0" bottom="0" percent="0" rank="0" text="" dxfId="61">
      <formula>2</formula>
    </cfRule>
  </conditionalFormatting>
  <conditionalFormatting sqref="C21:E21 D39:D40 D55:D57 D60:D61 D68 F14:G15 H21">
    <cfRule type="cellIs" priority="819" operator="equal" aboveAverage="0" equalAverage="0" bottom="0" percent="0" rank="0" text="" dxfId="50">
      <formula>"PvCre"</formula>
    </cfRule>
    <cfRule type="cellIs" priority="820" operator="equal" aboveAverage="0" equalAverage="0" bottom="0" percent="0" rank="0" text="" dxfId="51">
      <formula>"Calb2-Cre"</formula>
    </cfRule>
    <cfRule type="cellIs" priority="821" operator="equal" aboveAverage="0" equalAverage="0" bottom="0" percent="0" rank="0" text="" dxfId="52">
      <formula>"FlCx36-KO (hom)"</formula>
    </cfRule>
    <cfRule type="cellIs" priority="822" operator="equal" aboveAverage="0" equalAverage="0" bottom="0" percent="0" rank="0" text="" dxfId="53">
      <formula>"FLCx36KO_Cx36FLX_PvCre"</formula>
    </cfRule>
    <cfRule type="cellIs" priority="823" operator="equal" aboveAverage="0" equalAverage="0" bottom="0" percent="0" rank="0" text="" dxfId="54">
      <formula>"PVCre?"</formula>
    </cfRule>
    <cfRule type="cellIs" priority="824" operator="equal" aboveAverage="0" equalAverage="0" bottom="0" percent="0" rank="0" text="" dxfId="55">
      <formula>"FlCx36-KO x PVCre"</formula>
    </cfRule>
    <cfRule type="cellIs" priority="825" operator="equal" aboveAverage="0" equalAverage="0" bottom="0" percent="0" rank="0" text="" dxfId="56">
      <formula>"GCaMP3Thy1"</formula>
    </cfRule>
    <cfRule type="cellIs" priority="826" operator="equal" aboveAverage="0" equalAverage="0" bottom="0" percent="0" rank="0" text="" dxfId="57">
      <formula>"TdTom - Flox"</formula>
    </cfRule>
    <cfRule type="cellIs" priority="827" operator="equal" aboveAverage="0" equalAverage="0" bottom="0" percent="0" rank="0" text="" dxfId="58">
      <formula>"Bl6"</formula>
    </cfRule>
    <cfRule type="expression" priority="828" aboveAverage="0" equalAverage="0" bottom="0" percent="0" rank="0" text="" dxfId="59">
      <formula>LEN(TRIM(C21))=0</formula>
    </cfRule>
  </conditionalFormatting>
  <conditionalFormatting sqref="E21">
    <cfRule type="cellIs" priority="829" operator="equal" aboveAverage="0" equalAverage="0" bottom="0" percent="0" rank="0" text="" dxfId="49">
      <formula>"TP"</formula>
    </cfRule>
  </conditionalFormatting>
  <conditionalFormatting sqref="C20:H20 D27 G27">
    <cfRule type="cellIs" priority="830" operator="equal" aboveAverage="0" equalAverage="0" bottom="0" percent="0" rank="0" text="" dxfId="50">
      <formula>"PvCre"</formula>
    </cfRule>
    <cfRule type="cellIs" priority="831" operator="equal" aboveAverage="0" equalAverage="0" bottom="0" percent="0" rank="0" text="" dxfId="51">
      <formula>"Calb2-Cre"</formula>
    </cfRule>
    <cfRule type="cellIs" priority="832" operator="equal" aboveAverage="0" equalAverage="0" bottom="0" percent="0" rank="0" text="" dxfId="52">
      <formula>"FlCx36-KO (hom)"</formula>
    </cfRule>
    <cfRule type="cellIs" priority="833" operator="equal" aboveAverage="0" equalAverage="0" bottom="0" percent="0" rank="0" text="" dxfId="53">
      <formula>"FLCx36KO_Cx36FLX_PvCre"</formula>
    </cfRule>
    <cfRule type="cellIs" priority="834" operator="equal" aboveAverage="0" equalAverage="0" bottom="0" percent="0" rank="0" text="" dxfId="54">
      <formula>"PVCre?"</formula>
    </cfRule>
    <cfRule type="cellIs" priority="835" operator="equal" aboveAverage="0" equalAverage="0" bottom="0" percent="0" rank="0" text="" dxfId="55">
      <formula>"FlCx36-KO x PVCre"</formula>
    </cfRule>
    <cfRule type="cellIs" priority="836" operator="equal" aboveAverage="0" equalAverage="0" bottom="0" percent="0" rank="0" text="" dxfId="56">
      <formula>"GCaMP3Thy1"</formula>
    </cfRule>
    <cfRule type="cellIs" priority="837" operator="equal" aboveAverage="0" equalAverage="0" bottom="0" percent="0" rank="0" text="" dxfId="57">
      <formula>"TdTom - Flox"</formula>
    </cfRule>
    <cfRule type="cellIs" priority="838" operator="equal" aboveAverage="0" equalAverage="0" bottom="0" percent="0" rank="0" text="" dxfId="58">
      <formula>"Bl6"</formula>
    </cfRule>
    <cfRule type="expression" priority="839" aboveAverage="0" equalAverage="0" bottom="0" percent="0" rank="0" text="" dxfId="59">
      <formula>LEN(TRIM(C20))=0</formula>
    </cfRule>
  </conditionalFormatting>
  <conditionalFormatting sqref="F20">
    <cfRule type="cellIs" priority="840" operator="greaterThan" aboveAverage="0" equalAverage="0" bottom="0" percent="0" rank="0" text="" dxfId="60">
      <formula>5</formula>
    </cfRule>
    <cfRule type="cellIs" priority="841" operator="lessThan" aboveAverage="0" equalAverage="0" bottom="0" percent="0" rank="0" text="" dxfId="61">
      <formula>2</formula>
    </cfRule>
  </conditionalFormatting>
  <conditionalFormatting sqref="E20">
    <cfRule type="cellIs" priority="842" operator="equal" aboveAverage="0" equalAverage="0" bottom="0" percent="0" rank="0" text="" dxfId="49">
      <formula>"TP"</formula>
    </cfRule>
  </conditionalFormatting>
  <conditionalFormatting sqref="F18">
    <cfRule type="cellIs" priority="843" operator="greaterThan" aboveAverage="0" equalAverage="0" bottom="0" percent="0" rank="0" text="" dxfId="60">
      <formula>5</formula>
    </cfRule>
    <cfRule type="cellIs" priority="844" operator="lessThan" aboveAverage="0" equalAverage="0" bottom="0" percent="0" rank="0" text="" dxfId="61">
      <formula>2</formula>
    </cfRule>
  </conditionalFormatting>
  <conditionalFormatting sqref="C18:H18 D7:D9 D12 D14:D16 D22 D36 D41">
    <cfRule type="cellIs" priority="845" operator="equal" aboveAverage="0" equalAverage="0" bottom="0" percent="0" rank="0" text="" dxfId="50">
      <formula>"PvCre"</formula>
    </cfRule>
    <cfRule type="cellIs" priority="846" operator="equal" aboveAverage="0" equalAverage="0" bottom="0" percent="0" rank="0" text="" dxfId="51">
      <formula>"Calb2-Cre"</formula>
    </cfRule>
    <cfRule type="cellIs" priority="847" operator="equal" aboveAverage="0" equalAverage="0" bottom="0" percent="0" rank="0" text="" dxfId="52">
      <formula>"FlCx36-KO (hom)"</formula>
    </cfRule>
    <cfRule type="cellIs" priority="848" operator="equal" aboveAverage="0" equalAverage="0" bottom="0" percent="0" rank="0" text="" dxfId="53">
      <formula>"FLCx36KO_Cx36FLX_PvCre"</formula>
    </cfRule>
    <cfRule type="cellIs" priority="849" operator="equal" aboveAverage="0" equalAverage="0" bottom="0" percent="0" rank="0" text="" dxfId="54">
      <formula>"PVCre?"</formula>
    </cfRule>
    <cfRule type="cellIs" priority="850" operator="equal" aboveAverage="0" equalAverage="0" bottom="0" percent="0" rank="0" text="" dxfId="55">
      <formula>"FlCx36-KO x PVCre"</formula>
    </cfRule>
    <cfRule type="cellIs" priority="851" operator="equal" aboveAverage="0" equalAverage="0" bottom="0" percent="0" rank="0" text="" dxfId="56">
      <formula>"GCaMP3Thy1"</formula>
    </cfRule>
    <cfRule type="cellIs" priority="852" operator="equal" aboveAverage="0" equalAverage="0" bottom="0" percent="0" rank="0" text="" dxfId="57">
      <formula>"TdTom - Flox"</formula>
    </cfRule>
    <cfRule type="cellIs" priority="853" operator="equal" aboveAverage="0" equalAverage="0" bottom="0" percent="0" rank="0" text="" dxfId="58">
      <formula>"Bl6"</formula>
    </cfRule>
    <cfRule type="expression" priority="854" aboveAverage="0" equalAverage="0" bottom="0" percent="0" rank="0" text="" dxfId="59">
      <formula>LEN(TRIM(C18))=0</formula>
    </cfRule>
  </conditionalFormatting>
  <conditionalFormatting sqref="E18">
    <cfRule type="cellIs" priority="855" operator="equal" aboveAverage="0" equalAverage="0" bottom="0" percent="0" rank="0" text="" dxfId="49">
      <formula>"TP"</formula>
    </cfRule>
  </conditionalFormatting>
  <conditionalFormatting sqref="E17">
    <cfRule type="cellIs" priority="856" operator="equal" aboveAverage="0" equalAverage="0" bottom="0" percent="0" rank="0" text="" dxfId="49">
      <formula>"TP"</formula>
    </cfRule>
  </conditionalFormatting>
  <conditionalFormatting sqref="F17">
    <cfRule type="cellIs" priority="857" operator="greaterThan" aboveAverage="0" equalAverage="0" bottom="0" percent="0" rank="0" text="" dxfId="60">
      <formula>5</formula>
    </cfRule>
    <cfRule type="cellIs" priority="858" operator="lessThan" aboveAverage="0" equalAverage="0" bottom="0" percent="0" rank="0" text="" dxfId="61">
      <formula>2</formula>
    </cfRule>
  </conditionalFormatting>
  <conditionalFormatting sqref="C17:H17">
    <cfRule type="cellIs" priority="859" operator="equal" aboveAverage="0" equalAverage="0" bottom="0" percent="0" rank="0" text="" dxfId="50">
      <formula>"PvCre"</formula>
    </cfRule>
    <cfRule type="cellIs" priority="860" operator="equal" aboveAverage="0" equalAverage="0" bottom="0" percent="0" rank="0" text="" dxfId="51">
      <formula>"Calb2-Cre"</formula>
    </cfRule>
    <cfRule type="cellIs" priority="861" operator="equal" aboveAverage="0" equalAverage="0" bottom="0" percent="0" rank="0" text="" dxfId="52">
      <formula>"FlCx36-KO (hom)"</formula>
    </cfRule>
    <cfRule type="cellIs" priority="862" operator="equal" aboveAverage="0" equalAverage="0" bottom="0" percent="0" rank="0" text="" dxfId="53">
      <formula>"FLCx36KO_Cx36FLX_PvCre"</formula>
    </cfRule>
    <cfRule type="cellIs" priority="863" operator="equal" aboveAverage="0" equalAverage="0" bottom="0" percent="0" rank="0" text="" dxfId="54">
      <formula>"PVCre?"</formula>
    </cfRule>
    <cfRule type="cellIs" priority="864" operator="equal" aboveAverage="0" equalAverage="0" bottom="0" percent="0" rank="0" text="" dxfId="55">
      <formula>"FlCx36-KO x PVCre"</formula>
    </cfRule>
    <cfRule type="cellIs" priority="865" operator="equal" aboveAverage="0" equalAverage="0" bottom="0" percent="0" rank="0" text="" dxfId="56">
      <formula>"GCaMP3Thy1"</formula>
    </cfRule>
    <cfRule type="cellIs" priority="866" operator="equal" aboveAverage="0" equalAverage="0" bottom="0" percent="0" rank="0" text="" dxfId="57">
      <formula>"TdTom - Flox"</formula>
    </cfRule>
    <cfRule type="cellIs" priority="867" operator="equal" aboveAverage="0" equalAverage="0" bottom="0" percent="0" rank="0" text="" dxfId="58">
      <formula>"Bl6"</formula>
    </cfRule>
    <cfRule type="expression" priority="868" aboveAverage="0" equalAverage="0" bottom="0" percent="0" rank="0" text="" dxfId="59">
      <formula>LEN(TRIM(C17))=0</formula>
    </cfRule>
  </conditionalFormatting>
  <conditionalFormatting sqref="E16">
    <cfRule type="cellIs" priority="869" operator="equal" aboveAverage="0" equalAverage="0" bottom="0" percent="0" rank="0" text="" dxfId="49">
      <formula>"TP"</formula>
    </cfRule>
  </conditionalFormatting>
  <conditionalFormatting sqref="F16">
    <cfRule type="cellIs" priority="870" operator="greaterThan" aboveAverage="0" equalAverage="0" bottom="0" percent="0" rank="0" text="" dxfId="60">
      <formula>5</formula>
    </cfRule>
    <cfRule type="cellIs" priority="871" operator="lessThan" aboveAverage="0" equalAverage="0" bottom="0" percent="0" rank="0" text="" dxfId="61">
      <formula>2</formula>
    </cfRule>
  </conditionalFormatting>
  <conditionalFormatting sqref="C16:H16 D70:D73 D83:D84">
    <cfRule type="cellIs" priority="872" operator="equal" aboveAverage="0" equalAverage="0" bottom="0" percent="0" rank="0" text="" dxfId="50">
      <formula>"PvCre"</formula>
    </cfRule>
    <cfRule type="cellIs" priority="873" operator="equal" aboveAverage="0" equalAverage="0" bottom="0" percent="0" rank="0" text="" dxfId="51">
      <formula>"Calb2-Cre"</formula>
    </cfRule>
    <cfRule type="cellIs" priority="874" operator="equal" aboveAverage="0" equalAverage="0" bottom="0" percent="0" rank="0" text="" dxfId="52">
      <formula>"FlCx36-KO (hom)"</formula>
    </cfRule>
    <cfRule type="cellIs" priority="875" operator="equal" aboveAverage="0" equalAverage="0" bottom="0" percent="0" rank="0" text="" dxfId="53">
      <formula>"FLCx36KO_Cx36FLX_PvCre"</formula>
    </cfRule>
    <cfRule type="cellIs" priority="876" operator="equal" aboveAverage="0" equalAverage="0" bottom="0" percent="0" rank="0" text="" dxfId="54">
      <formula>"PVCre?"</formula>
    </cfRule>
    <cfRule type="cellIs" priority="877" operator="equal" aboveAverage="0" equalAverage="0" bottom="0" percent="0" rank="0" text="" dxfId="55">
      <formula>"FlCx36-KO x PVCre"</formula>
    </cfRule>
    <cfRule type="cellIs" priority="878" operator="equal" aboveAverage="0" equalAverage="0" bottom="0" percent="0" rank="0" text="" dxfId="56">
      <formula>"GCaMP3Thy1"</formula>
    </cfRule>
    <cfRule type="cellIs" priority="879" operator="equal" aboveAverage="0" equalAverage="0" bottom="0" percent="0" rank="0" text="" dxfId="57">
      <formula>"TdTom - Flox"</formula>
    </cfRule>
    <cfRule type="cellIs" priority="880" operator="equal" aboveAverage="0" equalAverage="0" bottom="0" percent="0" rank="0" text="" dxfId="58">
      <formula>"Bl6"</formula>
    </cfRule>
    <cfRule type="expression" priority="881" aboveAverage="0" equalAverage="0" bottom="0" percent="0" rank="0" text="" dxfId="59">
      <formula>LEN(TRIM(C16))=0</formula>
    </cfRule>
  </conditionalFormatting>
  <conditionalFormatting sqref="E15">
    <cfRule type="cellIs" priority="882" operator="equal" aboveAverage="0" equalAverage="0" bottom="0" percent="0" rank="0" text="" dxfId="49">
      <formula>"TP"</formula>
    </cfRule>
  </conditionalFormatting>
  <conditionalFormatting sqref="F15">
    <cfRule type="cellIs" priority="883" operator="greaterThan" aboveAverage="0" equalAverage="0" bottom="0" percent="0" rank="0" text="" dxfId="60">
      <formula>5</formula>
    </cfRule>
    <cfRule type="cellIs" priority="884" operator="lessThan" aboveAverage="0" equalAverage="0" bottom="0" percent="0" rank="0" text="" dxfId="61">
      <formula>2</formula>
    </cfRule>
  </conditionalFormatting>
  <conditionalFormatting sqref="C15:H15">
    <cfRule type="cellIs" priority="885" operator="equal" aboveAverage="0" equalAverage="0" bottom="0" percent="0" rank="0" text="" dxfId="50">
      <formula>"PvCre"</formula>
    </cfRule>
    <cfRule type="cellIs" priority="886" operator="equal" aboveAverage="0" equalAverage="0" bottom="0" percent="0" rank="0" text="" dxfId="51">
      <formula>"Calb2-Cre"</formula>
    </cfRule>
    <cfRule type="cellIs" priority="887" operator="equal" aboveAverage="0" equalAverage="0" bottom="0" percent="0" rank="0" text="" dxfId="52">
      <formula>"FlCx36-KO (hom)"</formula>
    </cfRule>
    <cfRule type="cellIs" priority="888" operator="equal" aboveAverage="0" equalAverage="0" bottom="0" percent="0" rank="0" text="" dxfId="53">
      <formula>"FLCx36KO_Cx36FLX_PvCre"</formula>
    </cfRule>
    <cfRule type="cellIs" priority="889" operator="equal" aboveAverage="0" equalAverage="0" bottom="0" percent="0" rank="0" text="" dxfId="54">
      <formula>"PVCre?"</formula>
    </cfRule>
    <cfRule type="cellIs" priority="890" operator="equal" aboveAverage="0" equalAverage="0" bottom="0" percent="0" rank="0" text="" dxfId="55">
      <formula>"FlCx36-KO x PVCre"</formula>
    </cfRule>
    <cfRule type="cellIs" priority="891" operator="equal" aboveAverage="0" equalAverage="0" bottom="0" percent="0" rank="0" text="" dxfId="56">
      <formula>"GCaMP3Thy1"</formula>
    </cfRule>
    <cfRule type="cellIs" priority="892" operator="equal" aboveAverage="0" equalAverage="0" bottom="0" percent="0" rank="0" text="" dxfId="57">
      <formula>"TdTom - Flox"</formula>
    </cfRule>
    <cfRule type="cellIs" priority="893" operator="equal" aboveAverage="0" equalAverage="0" bottom="0" percent="0" rank="0" text="" dxfId="58">
      <formula>"Bl6"</formula>
    </cfRule>
    <cfRule type="expression" priority="894" aboveAverage="0" equalAverage="0" bottom="0" percent="0" rank="0" text="" dxfId="59">
      <formula>LEN(TRIM(C15))=0</formula>
    </cfRule>
  </conditionalFormatting>
  <conditionalFormatting sqref="C14:E15 H14:I14 I24 I26 J21">
    <cfRule type="cellIs" priority="895" operator="equal" aboveAverage="0" equalAverage="0" bottom="0" percent="0" rank="0" text="" dxfId="50">
      <formula>"PvCre"</formula>
    </cfRule>
    <cfRule type="cellIs" priority="896" operator="equal" aboveAverage="0" equalAverage="0" bottom="0" percent="0" rank="0" text="" dxfId="51">
      <formula>"Calb2-Cre"</formula>
    </cfRule>
    <cfRule type="cellIs" priority="897" operator="equal" aboveAverage="0" equalAverage="0" bottom="0" percent="0" rank="0" text="" dxfId="52">
      <formula>"FlCx36-KO (hom)"</formula>
    </cfRule>
    <cfRule type="cellIs" priority="898" operator="equal" aboveAverage="0" equalAverage="0" bottom="0" percent="0" rank="0" text="" dxfId="53">
      <formula>"FLCx36KO_Cx36FLX_PvCre"</formula>
    </cfRule>
    <cfRule type="cellIs" priority="899" operator="equal" aboveAverage="0" equalAverage="0" bottom="0" percent="0" rank="0" text="" dxfId="54">
      <formula>"PVCre?"</formula>
    </cfRule>
    <cfRule type="cellIs" priority="900" operator="equal" aboveAverage="0" equalAverage="0" bottom="0" percent="0" rank="0" text="" dxfId="55">
      <formula>"FlCx36-KO x PVCre"</formula>
    </cfRule>
    <cfRule type="cellIs" priority="901" operator="equal" aboveAverage="0" equalAverage="0" bottom="0" percent="0" rank="0" text="" dxfId="56">
      <formula>"GCaMP3Thy1"</formula>
    </cfRule>
    <cfRule type="cellIs" priority="902" operator="equal" aboveAverage="0" equalAverage="0" bottom="0" percent="0" rank="0" text="" dxfId="57">
      <formula>"TdTom - Flox"</formula>
    </cfRule>
    <cfRule type="cellIs" priority="903" operator="equal" aboveAverage="0" equalAverage="0" bottom="0" percent="0" rank="0" text="" dxfId="58">
      <formula>"Bl6"</formula>
    </cfRule>
    <cfRule type="expression" priority="904" aboveAverage="0" equalAverage="0" bottom="0" percent="0" rank="0" text="" dxfId="59">
      <formula>LEN(TRIM(C14))=0</formula>
    </cfRule>
  </conditionalFormatting>
  <conditionalFormatting sqref="I14 I24 I26">
    <cfRule type="containsText" priority="905" operator="containsText" aboveAverage="0" equalAverage="0" bottom="0" percent="0" rank="0" text="használni" dxfId="62">
      <formula>NOT(ISERROR(SEARCH("használni",I14)))</formula>
    </cfRule>
  </conditionalFormatting>
  <conditionalFormatting sqref="E14:E15">
    <cfRule type="cellIs" priority="906" operator="equal" aboveAverage="0" equalAverage="0" bottom="0" percent="0" rank="0" text="" dxfId="49">
      <formula>"TP"</formula>
    </cfRule>
  </conditionalFormatting>
  <conditionalFormatting sqref="J21">
    <cfRule type="containsText" priority="907" operator="containsText" aboveAverage="0" equalAverage="0" bottom="0" percent="0" rank="0" text="Gergő" dxfId="63">
      <formula>NOT(ISERROR(SEARCH("Gergő",J21)))</formula>
    </cfRule>
  </conditionalFormatting>
  <conditionalFormatting sqref="C13 D13:E15 D17 F13:H13 I21">
    <cfRule type="cellIs" priority="908" operator="equal" aboveAverage="0" equalAverage="0" bottom="0" percent="0" rank="0" text="" dxfId="50">
      <formula>"PvCre"</formula>
    </cfRule>
    <cfRule type="cellIs" priority="909" operator="equal" aboveAverage="0" equalAverage="0" bottom="0" percent="0" rank="0" text="" dxfId="51">
      <formula>"Calb2-Cre"</formula>
    </cfRule>
    <cfRule type="cellIs" priority="910" operator="equal" aboveAverage="0" equalAverage="0" bottom="0" percent="0" rank="0" text="" dxfId="52">
      <formula>"FlCx36-KO (hom)"</formula>
    </cfRule>
    <cfRule type="cellIs" priority="911" operator="equal" aboveAverage="0" equalAverage="0" bottom="0" percent="0" rank="0" text="" dxfId="53">
      <formula>"FLCx36KO_Cx36FLX_PvCre"</formula>
    </cfRule>
    <cfRule type="cellIs" priority="912" operator="equal" aboveAverage="0" equalAverage="0" bottom="0" percent="0" rank="0" text="" dxfId="54">
      <formula>"PVCre?"</formula>
    </cfRule>
    <cfRule type="cellIs" priority="913" operator="equal" aboveAverage="0" equalAverage="0" bottom="0" percent="0" rank="0" text="" dxfId="55">
      <formula>"FlCx36-KO x PVCre"</formula>
    </cfRule>
    <cfRule type="cellIs" priority="914" operator="equal" aboveAverage="0" equalAverage="0" bottom="0" percent="0" rank="0" text="" dxfId="56">
      <formula>"GCaMP3Thy1"</formula>
    </cfRule>
    <cfRule type="cellIs" priority="915" operator="equal" aboveAverage="0" equalAverage="0" bottom="0" percent="0" rank="0" text="" dxfId="57">
      <formula>"TdTom - Flox"</formula>
    </cfRule>
    <cfRule type="cellIs" priority="916" operator="equal" aboveAverage="0" equalAverage="0" bottom="0" percent="0" rank="0" text="" dxfId="58">
      <formula>"Bl6"</formula>
    </cfRule>
    <cfRule type="expression" priority="917" aboveAverage="0" equalAverage="0" bottom="0" percent="0" rank="0" text="" dxfId="59">
      <formula>LEN(TRIM(C13))=0</formula>
    </cfRule>
  </conditionalFormatting>
  <conditionalFormatting sqref="E13:E15">
    <cfRule type="cellIs" priority="918" operator="equal" aboveAverage="0" equalAverage="0" bottom="0" percent="0" rank="0" text="" dxfId="49">
      <formula>"TP"</formula>
    </cfRule>
  </conditionalFormatting>
  <conditionalFormatting sqref="F13">
    <cfRule type="cellIs" priority="919" operator="greaterThan" aboveAverage="0" equalAverage="0" bottom="0" percent="0" rank="0" text="" dxfId="60">
      <formula>5</formula>
    </cfRule>
    <cfRule type="cellIs" priority="920" operator="lessThan" aboveAverage="0" equalAverage="0" bottom="0" percent="0" rank="0" text="" dxfId="61">
      <formula>2</formula>
    </cfRule>
  </conditionalFormatting>
  <conditionalFormatting sqref="E12:E13">
    <cfRule type="cellIs" priority="921" operator="equal" aboveAverage="0" equalAverage="0" bottom="0" percent="0" rank="0" text="" dxfId="49">
      <formula>"TP"</formula>
    </cfRule>
  </conditionalFormatting>
  <conditionalFormatting sqref="C12 D10 D12:D15 D17 E12:F13 G12:G14">
    <cfRule type="cellIs" priority="922" operator="equal" aboveAverage="0" equalAverage="0" bottom="0" percent="0" rank="0" text="" dxfId="50">
      <formula>"PvCre"</formula>
    </cfRule>
    <cfRule type="cellIs" priority="923" operator="equal" aboveAverage="0" equalAverage="0" bottom="0" percent="0" rank="0" text="" dxfId="51">
      <formula>"Calb2-Cre"</formula>
    </cfRule>
    <cfRule type="cellIs" priority="924" operator="equal" aboveAverage="0" equalAverage="0" bottom="0" percent="0" rank="0" text="" dxfId="52">
      <formula>"FlCx36-KO (hom)"</formula>
    </cfRule>
    <cfRule type="cellIs" priority="925" operator="equal" aboveAverage="0" equalAverage="0" bottom="0" percent="0" rank="0" text="" dxfId="53">
      <formula>"FLCx36KO_Cx36FLX_PvCre"</formula>
    </cfRule>
    <cfRule type="cellIs" priority="926" operator="equal" aboveAverage="0" equalAverage="0" bottom="0" percent="0" rank="0" text="" dxfId="54">
      <formula>"PVCre?"</formula>
    </cfRule>
    <cfRule type="cellIs" priority="927" operator="equal" aboveAverage="0" equalAverage="0" bottom="0" percent="0" rank="0" text="" dxfId="55">
      <formula>"FlCx36-KO x PVCre"</formula>
    </cfRule>
    <cfRule type="cellIs" priority="928" operator="equal" aboveAverage="0" equalAverage="0" bottom="0" percent="0" rank="0" text="" dxfId="56">
      <formula>"GCaMP3Thy1"</formula>
    </cfRule>
    <cfRule type="cellIs" priority="929" operator="equal" aboveAverage="0" equalAverage="0" bottom="0" percent="0" rank="0" text="" dxfId="57">
      <formula>"TdTom - Flox"</formula>
    </cfRule>
    <cfRule type="cellIs" priority="930" operator="equal" aboveAverage="0" equalAverage="0" bottom="0" percent="0" rank="0" text="" dxfId="58">
      <formula>"Bl6"</formula>
    </cfRule>
    <cfRule type="expression" priority="931" aboveAverage="0" equalAverage="0" bottom="0" percent="0" rank="0" text="" dxfId="59">
      <formula>LEN(TRIM(C12))=0</formula>
    </cfRule>
  </conditionalFormatting>
  <conditionalFormatting sqref="F12:F13">
    <cfRule type="cellIs" priority="932" operator="greaterThan" aboveAverage="0" equalAverage="0" bottom="0" percent="0" rank="0" text="" dxfId="60">
      <formula>5</formula>
    </cfRule>
    <cfRule type="cellIs" priority="933" operator="lessThan" aboveAverage="0" equalAverage="0" bottom="0" percent="0" rank="0" text="" dxfId="61">
      <formula>2</formula>
    </cfRule>
  </conditionalFormatting>
  <conditionalFormatting sqref="C11 C18:I18 D7:D12 D14:D16 D22 D36 D41 E11:I11 G14:G15 I14 I21 I24:I26 I32 I34:I35 I41:I42 I45 I51:I52 I58 I75 I81:I82 I84 I87:I91 I94 I96:I98">
    <cfRule type="cellIs" priority="934" operator="equal" aboveAverage="0" equalAverage="0" bottom="0" percent="0" rank="0" text="" dxfId="50">
      <formula>"PvCre"</formula>
    </cfRule>
    <cfRule type="cellIs" priority="935" operator="equal" aboveAverage="0" equalAverage="0" bottom="0" percent="0" rank="0" text="" dxfId="51">
      <formula>"Calb2-Cre"</formula>
    </cfRule>
    <cfRule type="cellIs" priority="936" operator="equal" aboveAverage="0" equalAverage="0" bottom="0" percent="0" rank="0" text="" dxfId="52">
      <formula>"FlCx36-KO (hom)"</formula>
    </cfRule>
    <cfRule type="cellIs" priority="937" operator="equal" aboveAverage="0" equalAverage="0" bottom="0" percent="0" rank="0" text="" dxfId="53">
      <formula>"FLCx36KO_Cx36FLX_PvCre"</formula>
    </cfRule>
    <cfRule type="cellIs" priority="938" operator="equal" aboveAverage="0" equalAverage="0" bottom="0" percent="0" rank="0" text="" dxfId="54">
      <formula>"PVCre?"</formula>
    </cfRule>
    <cfRule type="cellIs" priority="939" operator="equal" aboveAverage="0" equalAverage="0" bottom="0" percent="0" rank="0" text="" dxfId="55">
      <formula>"FlCx36-KO x PVCre"</formula>
    </cfRule>
    <cfRule type="cellIs" priority="940" operator="equal" aboveAverage="0" equalAverage="0" bottom="0" percent="0" rank="0" text="" dxfId="56">
      <formula>"GCaMP3Thy1"</formula>
    </cfRule>
    <cfRule type="cellIs" priority="941" operator="equal" aboveAverage="0" equalAverage="0" bottom="0" percent="0" rank="0" text="" dxfId="57">
      <formula>"TdTom - Flox"</formula>
    </cfRule>
    <cfRule type="cellIs" priority="942" operator="equal" aboveAverage="0" equalAverage="0" bottom="0" percent="0" rank="0" text="" dxfId="58">
      <formula>"Bl6"</formula>
    </cfRule>
    <cfRule type="expression" priority="943" aboveAverage="0" equalAverage="0" bottom="0" percent="0" rank="0" text="" dxfId="59">
      <formula>LEN(TRIM(C11))=0</formula>
    </cfRule>
  </conditionalFormatting>
  <conditionalFormatting sqref="F11">
    <cfRule type="cellIs" priority="944" operator="greaterThan" aboveAverage="0" equalAverage="0" bottom="0" percent="0" rank="0" text="" dxfId="60">
      <formula>5</formula>
    </cfRule>
    <cfRule type="cellIs" priority="945" operator="lessThan" aboveAverage="0" equalAverage="0" bottom="0" percent="0" rank="0" text="" dxfId="61">
      <formula>2</formula>
    </cfRule>
  </conditionalFormatting>
  <conditionalFormatting sqref="E11">
    <cfRule type="cellIs" priority="946" operator="equal" aboveAverage="0" equalAverage="0" bottom="0" percent="0" rank="0" text="" dxfId="49">
      <formula>"TP"</formula>
    </cfRule>
  </conditionalFormatting>
  <conditionalFormatting sqref="D10:D11 D15">
    <cfRule type="expression" priority="947" aboveAverage="0" equalAverage="0" bottom="0" percent="0" rank="0" text="" dxfId="59">
      <formula>LEN(TRIM(D10))=0</formula>
    </cfRule>
  </conditionalFormatting>
  <conditionalFormatting sqref="I11 I14 I18 I21 I24:I26 I32 I34:I35 I41:I42 I45 I51:I52 I58 I75 I81:I82 I84 I87:I91 I94 I96:I98">
    <cfRule type="containsText" priority="948" operator="containsText" aboveAverage="0" equalAverage="0" bottom="0" percent="0" rank="0" text="használni" dxfId="62">
      <formula>NOT(ISERROR(SEARCH("használni",I11)))</formula>
    </cfRule>
  </conditionalFormatting>
  <conditionalFormatting sqref="C10:H10 E14:E15">
    <cfRule type="cellIs" priority="949" operator="equal" aboveAverage="0" equalAverage="0" bottom="0" percent="0" rank="0" text="" dxfId="50">
      <formula>"PvCre"</formula>
    </cfRule>
    <cfRule type="cellIs" priority="950" operator="equal" aboveAverage="0" equalAverage="0" bottom="0" percent="0" rank="0" text="" dxfId="51">
      <formula>"Calb2-Cre"</formula>
    </cfRule>
    <cfRule type="cellIs" priority="951" operator="equal" aboveAverage="0" equalAverage="0" bottom="0" percent="0" rank="0" text="" dxfId="52">
      <formula>"FlCx36-KO (hom)"</formula>
    </cfRule>
    <cfRule type="cellIs" priority="952" operator="equal" aboveAverage="0" equalAverage="0" bottom="0" percent="0" rank="0" text="" dxfId="53">
      <formula>"FLCx36KO_Cx36FLX_PvCre"</formula>
    </cfRule>
    <cfRule type="cellIs" priority="953" operator="equal" aboveAverage="0" equalAverage="0" bottom="0" percent="0" rank="0" text="" dxfId="54">
      <formula>"PVCre?"</formula>
    </cfRule>
    <cfRule type="cellIs" priority="954" operator="equal" aboveAverage="0" equalAverage="0" bottom="0" percent="0" rank="0" text="" dxfId="55">
      <formula>"FlCx36-KO x PVCre"</formula>
    </cfRule>
    <cfRule type="cellIs" priority="955" operator="equal" aboveAverage="0" equalAverage="0" bottom="0" percent="0" rank="0" text="" dxfId="56">
      <formula>"GCaMP3Thy1"</formula>
    </cfRule>
    <cfRule type="cellIs" priority="956" operator="equal" aboveAverage="0" equalAverage="0" bottom="0" percent="0" rank="0" text="" dxfId="57">
      <formula>"TdTom - Flox"</formula>
    </cfRule>
    <cfRule type="cellIs" priority="957" operator="equal" aboveAverage="0" equalAverage="0" bottom="0" percent="0" rank="0" text="" dxfId="58">
      <formula>"Bl6"</formula>
    </cfRule>
    <cfRule type="expression" priority="958" aboveAverage="0" equalAverage="0" bottom="0" percent="0" rank="0" text="" dxfId="59">
      <formula>LEN(TRIM(C10))=0</formula>
    </cfRule>
  </conditionalFormatting>
  <conditionalFormatting sqref="F10">
    <cfRule type="cellIs" priority="959" operator="greaterThan" aboveAverage="0" equalAverage="0" bottom="0" percent="0" rank="0" text="" dxfId="60">
      <formula>5</formula>
    </cfRule>
    <cfRule type="cellIs" priority="960" operator="lessThan" aboveAverage="0" equalAverage="0" bottom="0" percent="0" rank="0" text="" dxfId="61">
      <formula>2</formula>
    </cfRule>
  </conditionalFormatting>
  <conditionalFormatting sqref="E10 E14:E15">
    <cfRule type="cellIs" priority="961" operator="equal" aboveAverage="0" equalAverage="0" bottom="0" percent="0" rank="0" text="" dxfId="49">
      <formula>"TP"</formula>
    </cfRule>
  </conditionalFormatting>
  <conditionalFormatting sqref="C9 D8:D9 D12 D15 D29:D30 D47 E9:G9">
    <cfRule type="cellIs" priority="962" operator="equal" aboveAverage="0" equalAverage="0" bottom="0" percent="0" rank="0" text="" dxfId="50">
      <formula>"PvCre"</formula>
    </cfRule>
    <cfRule type="cellIs" priority="963" operator="equal" aboveAverage="0" equalAverage="0" bottom="0" percent="0" rank="0" text="" dxfId="51">
      <formula>"Calb2-Cre"</formula>
    </cfRule>
    <cfRule type="cellIs" priority="964" operator="equal" aboveAverage="0" equalAverage="0" bottom="0" percent="0" rank="0" text="" dxfId="52">
      <formula>"FlCx36-KO (hom)"</formula>
    </cfRule>
    <cfRule type="cellIs" priority="965" operator="equal" aboveAverage="0" equalAverage="0" bottom="0" percent="0" rank="0" text="" dxfId="53">
      <formula>"FLCx36KO_Cx36FLX_PvCre"</formula>
    </cfRule>
    <cfRule type="cellIs" priority="966" operator="equal" aboveAverage="0" equalAverage="0" bottom="0" percent="0" rank="0" text="" dxfId="54">
      <formula>"PVCre?"</formula>
    </cfRule>
    <cfRule type="cellIs" priority="967" operator="equal" aboveAverage="0" equalAverage="0" bottom="0" percent="0" rank="0" text="" dxfId="55">
      <formula>"FlCx36-KO x PVCre"</formula>
    </cfRule>
    <cfRule type="cellIs" priority="968" operator="equal" aboveAverage="0" equalAverage="0" bottom="0" percent="0" rank="0" text="" dxfId="56">
      <formula>"GCaMP3Thy1"</formula>
    </cfRule>
    <cfRule type="cellIs" priority="969" operator="equal" aboveAverage="0" equalAverage="0" bottom="0" percent="0" rank="0" text="" dxfId="57">
      <formula>"TdTom - Flox"</formula>
    </cfRule>
    <cfRule type="cellIs" priority="970" operator="equal" aboveAverage="0" equalAverage="0" bottom="0" percent="0" rank="0" text="" dxfId="58">
      <formula>"Bl6"</formula>
    </cfRule>
    <cfRule type="expression" priority="971" aboveAverage="0" equalAverage="0" bottom="0" percent="0" rank="0" text="" dxfId="59">
      <formula>LEN(TRIM(C9))=0</formula>
    </cfRule>
  </conditionalFormatting>
  <conditionalFormatting sqref="F9">
    <cfRule type="cellIs" priority="972" operator="greaterThan" aboveAverage="0" equalAverage="0" bottom="0" percent="0" rank="0" text="" dxfId="60">
      <formula>5</formula>
    </cfRule>
    <cfRule type="cellIs" priority="973" operator="lessThan" aboveAverage="0" equalAverage="0" bottom="0" percent="0" rank="0" text="" dxfId="61">
      <formula>2</formula>
    </cfRule>
  </conditionalFormatting>
  <conditionalFormatting sqref="E9">
    <cfRule type="cellIs" priority="974" operator="equal" aboveAverage="0" equalAverage="0" bottom="0" percent="0" rank="0" text="" dxfId="49">
      <formula>"TP"</formula>
    </cfRule>
  </conditionalFormatting>
  <conditionalFormatting sqref="C7 D7:D9 D12 D14:D16 D22 D36 D41 E7:G7 E10:E11 E14:E15 E34 G10">
    <cfRule type="cellIs" priority="975" operator="equal" aboveAverage="0" equalAverage="0" bottom="0" percent="0" rank="0" text="" dxfId="50">
      <formula>"PvCre"</formula>
    </cfRule>
    <cfRule type="cellIs" priority="976" operator="equal" aboveAverage="0" equalAverage="0" bottom="0" percent="0" rank="0" text="" dxfId="51">
      <formula>"Calb2-Cre"</formula>
    </cfRule>
    <cfRule type="cellIs" priority="977" operator="equal" aboveAverage="0" equalAverage="0" bottom="0" percent="0" rank="0" text="" dxfId="52">
      <formula>"FlCx36-KO (hom)"</formula>
    </cfRule>
    <cfRule type="cellIs" priority="978" operator="equal" aboveAverage="0" equalAverage="0" bottom="0" percent="0" rank="0" text="" dxfId="53">
      <formula>"FLCx36KO_Cx36FLX_PvCre"</formula>
    </cfRule>
    <cfRule type="cellIs" priority="979" operator="equal" aboveAverage="0" equalAverage="0" bottom="0" percent="0" rank="0" text="" dxfId="54">
      <formula>"PVCre?"</formula>
    </cfRule>
    <cfRule type="cellIs" priority="980" operator="equal" aboveAverage="0" equalAverage="0" bottom="0" percent="0" rank="0" text="" dxfId="55">
      <formula>"FlCx36-KO x PVCre"</formula>
    </cfRule>
    <cfRule type="cellIs" priority="981" operator="equal" aboveAverage="0" equalAverage="0" bottom="0" percent="0" rank="0" text="" dxfId="56">
      <formula>"GCaMP3Thy1"</formula>
    </cfRule>
    <cfRule type="cellIs" priority="982" operator="equal" aboveAverage="0" equalAverage="0" bottom="0" percent="0" rank="0" text="" dxfId="57">
      <formula>"TdTom - Flox"</formula>
    </cfRule>
    <cfRule type="cellIs" priority="983" operator="equal" aboveAverage="0" equalAverage="0" bottom="0" percent="0" rank="0" text="" dxfId="58">
      <formula>"Bl6"</formula>
    </cfRule>
    <cfRule type="expression" priority="984" aboveAverage="0" equalAverage="0" bottom="0" percent="0" rank="0" text="" dxfId="59">
      <formula>LEN(TRIM(C7))=0</formula>
    </cfRule>
  </conditionalFormatting>
  <conditionalFormatting sqref="E7 E10:E11 E14:E15 E34">
    <cfRule type="cellIs" priority="985" operator="equal" aboveAverage="0" equalAverage="0" bottom="0" percent="0" rank="0" text="" dxfId="49">
      <formula>"TP"</formula>
    </cfRule>
  </conditionalFormatting>
  <conditionalFormatting sqref="F7">
    <cfRule type="cellIs" priority="986" operator="greaterThan" aboveAverage="0" equalAverage="0" bottom="0" percent="0" rank="0" text="" dxfId="60">
      <formula>5</formula>
    </cfRule>
    <cfRule type="cellIs" priority="987" operator="lessThan" aboveAverage="0" equalAverage="0" bottom="0" percent="0" rank="0" text="" dxfId="61">
      <formula>2</formula>
    </cfRule>
  </conditionalFormatting>
  <conditionalFormatting sqref="C6:I6">
    <cfRule type="cellIs" priority="988" operator="equal" aboveAverage="0" equalAverage="0" bottom="0" percent="0" rank="0" text="" dxfId="50">
      <formula>"PvCre"</formula>
    </cfRule>
    <cfRule type="cellIs" priority="989" operator="equal" aboveAverage="0" equalAverage="0" bottom="0" percent="0" rank="0" text="" dxfId="51">
      <formula>"Calb2-Cre"</formula>
    </cfRule>
    <cfRule type="cellIs" priority="990" operator="equal" aboveAverage="0" equalAverage="0" bottom="0" percent="0" rank="0" text="" dxfId="52">
      <formula>"FlCx36-KO (hom)"</formula>
    </cfRule>
    <cfRule type="cellIs" priority="991" operator="equal" aboveAverage="0" equalAverage="0" bottom="0" percent="0" rank="0" text="" dxfId="53">
      <formula>"FLCx36KO_Cx36FLX_PvCre"</formula>
    </cfRule>
    <cfRule type="cellIs" priority="992" operator="equal" aboveAverage="0" equalAverage="0" bottom="0" percent="0" rank="0" text="" dxfId="54">
      <formula>"PVCre?"</formula>
    </cfRule>
    <cfRule type="cellIs" priority="993" operator="equal" aboveAverage="0" equalAverage="0" bottom="0" percent="0" rank="0" text="" dxfId="55">
      <formula>"FlCx36-KO x PVCre"</formula>
    </cfRule>
    <cfRule type="cellIs" priority="994" operator="equal" aboveAverage="0" equalAverage="0" bottom="0" percent="0" rank="0" text="" dxfId="56">
      <formula>"GCaMP3Thy1"</formula>
    </cfRule>
    <cfRule type="cellIs" priority="995" operator="equal" aboveAverage="0" equalAverage="0" bottom="0" percent="0" rank="0" text="" dxfId="57">
      <formula>"TdTom - Flox"</formula>
    </cfRule>
    <cfRule type="cellIs" priority="996" operator="equal" aboveAverage="0" equalAverage="0" bottom="0" percent="0" rank="0" text="" dxfId="58">
      <formula>"Bl6"</formula>
    </cfRule>
    <cfRule type="expression" priority="997" aboveAverage="0" equalAverage="0" bottom="0" percent="0" rank="0" text="" dxfId="59">
      <formula>LEN(TRIM(C6))=0</formula>
    </cfRule>
  </conditionalFormatting>
  <conditionalFormatting sqref="E6">
    <cfRule type="cellIs" priority="998" operator="equal" aboveAverage="0" equalAverage="0" bottom="0" percent="0" rank="0" text="" dxfId="49">
      <formula>"TP"</formula>
    </cfRule>
  </conditionalFormatting>
  <conditionalFormatting sqref="H6">
    <cfRule type="containsText" priority="999" operator="containsText" aboveAverage="0" equalAverage="0" bottom="0" percent="0" rank="0" text="használni" dxfId="62">
      <formula>NOT(ISERROR(SEARCH("használni",H6)))</formula>
    </cfRule>
  </conditionalFormatting>
  <conditionalFormatting sqref="F6">
    <cfRule type="cellIs" priority="1000" operator="greaterThan" aboveAverage="0" equalAverage="0" bottom="0" percent="0" rank="0" text="" dxfId="60">
      <formula>5</formula>
    </cfRule>
    <cfRule type="cellIs" priority="1001" operator="lessThan" aboveAverage="0" equalAverage="0" bottom="0" percent="0" rank="0" text="" dxfId="61">
      <formula>2</formula>
    </cfRule>
  </conditionalFormatting>
  <conditionalFormatting sqref="E5">
    <cfRule type="cellIs" priority="1002" operator="equal" aboveAverage="0" equalAverage="0" bottom="0" percent="0" rank="0" text="" dxfId="49">
      <formula>"TP"</formula>
    </cfRule>
  </conditionalFormatting>
  <conditionalFormatting sqref="C5:H5">
    <cfRule type="cellIs" priority="1003" operator="equal" aboveAverage="0" equalAverage="0" bottom="0" percent="0" rank="0" text="" dxfId="50">
      <formula>"PvCre"</formula>
    </cfRule>
    <cfRule type="cellIs" priority="1004" operator="equal" aboveAverage="0" equalAverage="0" bottom="0" percent="0" rank="0" text="" dxfId="51">
      <formula>"Calb2-Cre"</formula>
    </cfRule>
    <cfRule type="cellIs" priority="1005" operator="equal" aboveAverage="0" equalAverage="0" bottom="0" percent="0" rank="0" text="" dxfId="52">
      <formula>"FlCx36-KO (hom)"</formula>
    </cfRule>
    <cfRule type="cellIs" priority="1006" operator="equal" aboveAverage="0" equalAverage="0" bottom="0" percent="0" rank="0" text="" dxfId="53">
      <formula>"FLCx36KO_Cx36FLX_PvCre"</formula>
    </cfRule>
    <cfRule type="cellIs" priority="1007" operator="equal" aboveAverage="0" equalAverage="0" bottom="0" percent="0" rank="0" text="" dxfId="54">
      <formula>"PVCre?"</formula>
    </cfRule>
    <cfRule type="cellIs" priority="1008" operator="equal" aboveAverage="0" equalAverage="0" bottom="0" percent="0" rank="0" text="" dxfId="55">
      <formula>"FlCx36-KO x PVCre"</formula>
    </cfRule>
    <cfRule type="cellIs" priority="1009" operator="equal" aboveAverage="0" equalAverage="0" bottom="0" percent="0" rank="0" text="" dxfId="56">
      <formula>"GCaMP3Thy1"</formula>
    </cfRule>
    <cfRule type="cellIs" priority="1010" operator="equal" aboveAverage="0" equalAverage="0" bottom="0" percent="0" rank="0" text="" dxfId="57">
      <formula>"TdTom - Flox"</formula>
    </cfRule>
    <cfRule type="cellIs" priority="1011" operator="equal" aboveAverage="0" equalAverage="0" bottom="0" percent="0" rank="0" text="" dxfId="58">
      <formula>"Bl6"</formula>
    </cfRule>
    <cfRule type="expression" priority="1012" aboveAverage="0" equalAverage="0" bottom="0" percent="0" rank="0" text="" dxfId="59">
      <formula>LEN(TRIM(C5))=0</formula>
    </cfRule>
  </conditionalFormatting>
  <conditionalFormatting sqref="F5">
    <cfRule type="cellIs" priority="1013" operator="greaterThan" aboveAverage="0" equalAverage="0" bottom="0" percent="0" rank="0" text="" dxfId="60">
      <formula>5</formula>
    </cfRule>
    <cfRule type="cellIs" priority="1014" operator="lessThan" aboveAverage="0" equalAverage="0" bottom="0" percent="0" rank="0" text="" dxfId="61">
      <formula>2</formula>
    </cfRule>
  </conditionalFormatting>
  <conditionalFormatting sqref="D4:G4 G8">
    <cfRule type="cellIs" priority="1015" operator="equal" aboveAverage="0" equalAverage="0" bottom="0" percent="0" rank="0" text="" dxfId="50">
      <formula>"PvCre"</formula>
    </cfRule>
    <cfRule type="cellIs" priority="1016" operator="equal" aboveAverage="0" equalAverage="0" bottom="0" percent="0" rank="0" text="" dxfId="51">
      <formula>"Calb2-Cre"</formula>
    </cfRule>
    <cfRule type="cellIs" priority="1017" operator="equal" aboveAverage="0" equalAverage="0" bottom="0" percent="0" rank="0" text="" dxfId="52">
      <formula>"FlCx36-KO (hom)"</formula>
    </cfRule>
    <cfRule type="cellIs" priority="1018" operator="equal" aboveAverage="0" equalAverage="0" bottom="0" percent="0" rank="0" text="" dxfId="53">
      <formula>"FLCx36KO_Cx36FLX_PvCre"</formula>
    </cfRule>
    <cfRule type="cellIs" priority="1019" operator="equal" aboveAverage="0" equalAverage="0" bottom="0" percent="0" rank="0" text="" dxfId="54">
      <formula>"PVCre?"</formula>
    </cfRule>
    <cfRule type="cellIs" priority="1020" operator="equal" aboveAverage="0" equalAverage="0" bottom="0" percent="0" rank="0" text="" dxfId="55">
      <formula>"FlCx36-KO x PVCre"</formula>
    </cfRule>
    <cfRule type="cellIs" priority="1021" operator="equal" aboveAverage="0" equalAverage="0" bottom="0" percent="0" rank="0" text="" dxfId="56">
      <formula>"GCaMP3Thy1"</formula>
    </cfRule>
    <cfRule type="cellIs" priority="1022" operator="equal" aboveAverage="0" equalAverage="0" bottom="0" percent="0" rank="0" text="" dxfId="57">
      <formula>"TdTom - Flox"</formula>
    </cfRule>
    <cfRule type="cellIs" priority="1023" operator="equal" aboveAverage="0" equalAverage="0" bottom="0" percent="0" rank="0" text="" dxfId="58">
      <formula>"Bl6"</formula>
    </cfRule>
    <cfRule type="expression" priority="1024" aboveAverage="0" equalAverage="0" bottom="0" percent="0" rank="0" text="" dxfId="59">
      <formula>LEN(TRIM(D4))=0</formula>
    </cfRule>
  </conditionalFormatting>
  <conditionalFormatting sqref="F4">
    <cfRule type="cellIs" priority="1025" operator="greaterThan" aboveAverage="0" equalAverage="0" bottom="0" percent="0" rank="0" text="" dxfId="60">
      <formula>5</formula>
    </cfRule>
    <cfRule type="cellIs" priority="1026" operator="lessThan" aboveAverage="0" equalAverage="0" bottom="0" percent="0" rank="0" text="" dxfId="61">
      <formula>2</formula>
    </cfRule>
  </conditionalFormatting>
  <conditionalFormatting sqref="E4">
    <cfRule type="cellIs" priority="1027" operator="equal" aboveAverage="0" equalAverage="0" bottom="0" percent="0" rank="0" text="" dxfId="49">
      <formula>"TP"</formula>
    </cfRule>
  </conditionalFormatting>
  <conditionalFormatting sqref="F1:F10 F15 F19 F26 F29 F34 F36 F41 F53 F60 F71 F76 F78 F83 F85 F91:F96 F98:F2033 M27:M28">
    <cfRule type="cellIs" priority="1028" operator="greaterThan" aboveAverage="0" equalAverage="0" bottom="0" percent="0" rank="0" text="" dxfId="60">
      <formula>5</formula>
    </cfRule>
    <cfRule type="cellIs" priority="1029" operator="lessThan" aboveAverage="0" equalAverage="0" bottom="0" percent="0" rank="0" text="" dxfId="61">
      <formula>2</formula>
    </cfRule>
  </conditionalFormatting>
  <conditionalFormatting sqref="A1:B2033 C1:C11 C15 C19 C26 C29 C34 C36 C41 C53 C60 C71 C76 C78 C83 C85 C91:G96 C98:G2033 D1:D12 D14:D16 D18:D22 D24:D27 D29:D36 D39:D41 D43 D47:D48 D50:D51 D53:D58 D60:D66 D68:D76 D78:D85 E1:E11 E14:E15 E19:H19 E26:H26 E29:F29 E34:G34 E36:H36 E41:G41 E53:G53 E60:G60 E71:G71 E76:G76 E78:G78 E83:F83 E85:F85 F1:F10 F15 G1:G11 G14:G15 G29:G30 G65 G83:G85 H1:H12 H14:H16 H29 H32:H34 H39:H41 H43:H45 H47:H60 H62:H68 H71:H81 H83:H87 H90:H105 H107:H2033 I1:I69 I71:I2033 J1:J20 J22:J42 J44:J56 J58:J2033 K1:Z2033">
    <cfRule type="cellIs" priority="1030" operator="equal" aboveAverage="0" equalAverage="0" bottom="0" percent="0" rank="0" text="" dxfId="50">
      <formula>"PvCre"</formula>
    </cfRule>
    <cfRule type="cellIs" priority="1031" operator="equal" aboveAverage="0" equalAverage="0" bottom="0" percent="0" rank="0" text="" dxfId="51">
      <formula>"Calb2-Cre"</formula>
    </cfRule>
    <cfRule type="cellIs" priority="1032" operator="equal" aboveAverage="0" equalAverage="0" bottom="0" percent="0" rank="0" text="" dxfId="52">
      <formula>"FlCx36-KO (hom)"</formula>
    </cfRule>
    <cfRule type="cellIs" priority="1033" operator="equal" aboveAverage="0" equalAverage="0" bottom="0" percent="0" rank="0" text="" dxfId="53">
      <formula>"FLCx36KO_Cx36FLX_PvCre"</formula>
    </cfRule>
    <cfRule type="cellIs" priority="1034" operator="equal" aboveAverage="0" equalAverage="0" bottom="0" percent="0" rank="0" text="" dxfId="54">
      <formula>"PVCre?"</formula>
    </cfRule>
    <cfRule type="cellIs" priority="1035" operator="equal" aboveAverage="0" equalAverage="0" bottom="0" percent="0" rank="0" text="" dxfId="55">
      <formula>"FlCx36-KO x PVCre"</formula>
    </cfRule>
    <cfRule type="cellIs" priority="1036" operator="equal" aboveAverage="0" equalAverage="0" bottom="0" percent="0" rank="0" text="" dxfId="56">
      <formula>"GCaMP3Thy1"</formula>
    </cfRule>
    <cfRule type="cellIs" priority="1037" operator="equal" aboveAverage="0" equalAverage="0" bottom="0" percent="0" rank="0" text="" dxfId="57">
      <formula>"TdTom - Flox"</formula>
    </cfRule>
    <cfRule type="cellIs" priority="1038" operator="equal" aboveAverage="0" equalAverage="0" bottom="0" percent="0" rank="0" text="" dxfId="58">
      <formula>"Bl6"</formula>
    </cfRule>
    <cfRule type="expression" priority="1039" aboveAverage="0" equalAverage="0" bottom="0" percent="0" rank="0" text="" dxfId="59">
      <formula>LEN(TRIM(A1))=0</formula>
    </cfRule>
  </conditionalFormatting>
  <conditionalFormatting sqref="E1:E11 E14:E15 E19 E26 E29 E34 E36 E41 E53 E60 E71 E76 E78 E83 E85 E91:E96 E98:E2033">
    <cfRule type="cellIs" priority="1040" operator="equal" aboveAverage="0" equalAverage="0" bottom="0" percent="0" rank="0" text="" dxfId="49">
      <formula>"TP"</formula>
    </cfRule>
  </conditionalFormatting>
  <conditionalFormatting sqref="I1:I69 I71:I2033">
    <cfRule type="containsText" priority="1041" operator="containsText" aboveAverage="0" equalAverage="0" bottom="0" percent="0" rank="0" text="használni" dxfId="62">
      <formula>NOT(ISERROR(SEARCH("használni",I1)))</formula>
    </cfRule>
  </conditionalFormatting>
  <conditionalFormatting sqref="J1:J20 J22:J42 J44:J56 J58:J2033">
    <cfRule type="containsText" priority="1042" operator="containsText" aboveAverage="0" equalAverage="0" bottom="0" percent="0" rank="0" text="Gergő" dxfId="63">
      <formula>NOT(ISERROR(SEARCH("Gergő",J1)))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B1:N1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.57"/>
    <col collapsed="false" customWidth="true" hidden="false" outlineLevel="0" max="2" min="2" style="1" width="8.71"/>
    <col collapsed="false" customWidth="true" hidden="false" outlineLevel="0" max="3" min="3" style="1" width="49.57"/>
    <col collapsed="false" customWidth="true" hidden="false" outlineLevel="0" max="4" min="4" style="1" width="8.15"/>
    <col collapsed="false" customWidth="true" hidden="false" outlineLevel="0" max="5" min="5" style="1" width="8.86"/>
    <col collapsed="false" customWidth="true" hidden="false" outlineLevel="0" max="6" min="6" style="1" width="25.29"/>
    <col collapsed="false" customWidth="true" hidden="false" outlineLevel="0" max="7" min="7" style="1" width="28.71"/>
    <col collapsed="false" customWidth="true" hidden="false" outlineLevel="0" max="8" min="8" style="1" width="38.29"/>
    <col collapsed="false" customWidth="true" hidden="false" outlineLevel="0" max="10" min="9" style="1" width="12.71"/>
    <col collapsed="false" customWidth="true" hidden="false" outlineLevel="0" max="11" min="11" style="1" width="22.86"/>
    <col collapsed="false" customWidth="true" hidden="false" outlineLevel="0" max="12" min="12" style="1" width="7.29"/>
    <col collapsed="false" customWidth="true" hidden="false" outlineLevel="0" max="13" min="13" style="1" width="13.29"/>
    <col collapsed="false" customWidth="true" hidden="false" outlineLevel="0" max="14" min="14" style="1" width="10.14"/>
    <col collapsed="false" customWidth="true" hidden="false" outlineLevel="0" max="15" min="15" style="1" width="10.85"/>
    <col collapsed="false" customWidth="true" hidden="false" outlineLevel="0" max="16" min="16" style="1" width="23"/>
    <col collapsed="false" customWidth="true" hidden="false" outlineLevel="0" max="17" min="17" style="1" width="12"/>
    <col collapsed="false" customWidth="true" hidden="false" outlineLevel="0" max="25" min="18" style="1" width="8.71"/>
  </cols>
  <sheetData>
    <row r="1" customFormat="false" ht="15" hidden="false" customHeight="true" outlineLevel="0" collapsed="false">
      <c r="B1" s="37" t="s">
        <v>550</v>
      </c>
      <c r="C1" s="38" t="n">
        <v>45467</v>
      </c>
    </row>
    <row r="2" customFormat="false" ht="15" hidden="false" customHeight="true" outlineLevel="0" collapsed="false">
      <c r="B2" s="39" t="s">
        <v>24</v>
      </c>
      <c r="C2" s="39" t="s">
        <v>21</v>
      </c>
      <c r="D2" s="40" t="s">
        <v>552</v>
      </c>
      <c r="E2" s="40" t="s">
        <v>553</v>
      </c>
      <c r="F2" s="39" t="s">
        <v>23</v>
      </c>
      <c r="G2" s="39" t="s">
        <v>554</v>
      </c>
      <c r="H2" s="39" t="s">
        <v>129</v>
      </c>
      <c r="I2" s="23" t="s">
        <v>555</v>
      </c>
      <c r="J2" s="23"/>
      <c r="K2" s="23" t="s">
        <v>556</v>
      </c>
      <c r="L2" s="1" t="n">
        <f aca="false">COUNTIF(C3:C120,"Bl6")</f>
        <v>0</v>
      </c>
    </row>
    <row r="3" customFormat="false" ht="15" hidden="false" customHeight="true" outlineLevel="0" collapsed="false">
      <c r="B3" s="21" t="s">
        <v>569</v>
      </c>
      <c r="C3" s="21" t="s">
        <v>570</v>
      </c>
      <c r="D3" s="21" t="s">
        <v>36</v>
      </c>
      <c r="E3" s="21" t="n">
        <v>1</v>
      </c>
      <c r="F3" s="77" t="n">
        <v>45320</v>
      </c>
      <c r="K3" s="27" t="s">
        <v>72</v>
      </c>
      <c r="L3" s="1" t="n">
        <f aca="false">COUNTIF(C3:C120,"PVCre")</f>
        <v>29</v>
      </c>
    </row>
    <row r="4" customFormat="false" ht="15" hidden="false" customHeight="true" outlineLevel="0" collapsed="false">
      <c r="B4" s="21" t="s">
        <v>571</v>
      </c>
      <c r="F4" s="49"/>
      <c r="G4" s="52"/>
      <c r="H4" s="52"/>
      <c r="K4" s="21" t="s">
        <v>136</v>
      </c>
      <c r="L4" s="1" t="n">
        <f aca="false">COUNTIF(C3:C120,"GCaMP3Thy1")</f>
        <v>4</v>
      </c>
    </row>
    <row r="5" customFormat="false" ht="15" hidden="false" customHeight="true" outlineLevel="0" collapsed="false">
      <c r="B5" s="21" t="s">
        <v>572</v>
      </c>
      <c r="C5" s="21" t="s">
        <v>513</v>
      </c>
      <c r="D5" s="21" t="s">
        <v>36</v>
      </c>
      <c r="E5" s="21" t="n">
        <v>3</v>
      </c>
      <c r="F5" s="49" t="n">
        <v>45514</v>
      </c>
      <c r="G5" s="52"/>
      <c r="H5" s="52"/>
      <c r="K5" s="21"/>
    </row>
    <row r="6" customFormat="false" ht="15" hidden="false" customHeight="true" outlineLevel="0" collapsed="false">
      <c r="B6" s="21" t="s">
        <v>573</v>
      </c>
      <c r="C6" s="21" t="s">
        <v>574</v>
      </c>
      <c r="D6" s="21" t="s">
        <v>41</v>
      </c>
      <c r="E6" s="21" t="n">
        <v>5</v>
      </c>
      <c r="F6" s="49" t="n">
        <v>45541</v>
      </c>
      <c r="G6" s="52"/>
      <c r="H6" s="52"/>
      <c r="K6" s="21"/>
    </row>
    <row r="7" customFormat="false" ht="15" hidden="false" customHeight="true" outlineLevel="0" collapsed="false">
      <c r="B7" s="21" t="s">
        <v>575</v>
      </c>
      <c r="F7" s="49"/>
      <c r="G7" s="52"/>
      <c r="H7" s="52"/>
      <c r="K7" s="21" t="s">
        <v>576</v>
      </c>
      <c r="L7" s="1" t="n">
        <f aca="false">COUNTIF(C3:C120,"FlCx36-KO (hom)")</f>
        <v>1</v>
      </c>
    </row>
    <row r="8" customFormat="false" ht="15" hidden="false" customHeight="true" outlineLevel="0" collapsed="false">
      <c r="B8" s="21" t="s">
        <v>577</v>
      </c>
      <c r="C8" s="31"/>
      <c r="F8" s="76"/>
      <c r="K8" s="78" t="s">
        <v>578</v>
      </c>
      <c r="L8" s="1" t="n">
        <f aca="false">COUNTIF(C3:C120,"Calb2-Cre")</f>
        <v>9</v>
      </c>
    </row>
    <row r="9" customFormat="false" ht="15" hidden="false" customHeight="true" outlineLevel="0" collapsed="false">
      <c r="B9" s="79" t="s">
        <v>579</v>
      </c>
      <c r="C9" s="66"/>
      <c r="D9" s="80"/>
      <c r="K9" s="21" t="s">
        <v>580</v>
      </c>
      <c r="L9" s="1" t="n">
        <f aca="false">COUNTIF(C3:C120,"FL-Cx36KO (hom) + PVCre")</f>
        <v>0</v>
      </c>
    </row>
    <row r="10" customFormat="false" ht="15" hidden="false" customHeight="true" outlineLevel="0" collapsed="false">
      <c r="B10" s="1" t="s">
        <v>581</v>
      </c>
      <c r="F10" s="76"/>
      <c r="K10" s="59" t="s">
        <v>582</v>
      </c>
      <c r="L10" s="1" t="n">
        <f aca="false">COUNTIF(C3:C120,"TdTom - Flox")</f>
        <v>0</v>
      </c>
    </row>
    <row r="11" customFormat="false" ht="15" hidden="false" customHeight="true" outlineLevel="0" collapsed="false">
      <c r="B11" s="21" t="s">
        <v>583</v>
      </c>
      <c r="F11" s="49"/>
      <c r="G11" s="57"/>
      <c r="H11" s="57"/>
      <c r="K11" s="21" t="s">
        <v>584</v>
      </c>
      <c r="L11" s="1" t="n">
        <f aca="false">COUNTIF(C4:C121,"PVCre?")</f>
        <v>2</v>
      </c>
    </row>
    <row r="12" customFormat="false" ht="15" hidden="false" customHeight="true" outlineLevel="0" collapsed="false">
      <c r="B12" s="21" t="s">
        <v>585</v>
      </c>
      <c r="C12" s="44"/>
      <c r="F12" s="42"/>
    </row>
    <row r="13" customFormat="false" ht="15" hidden="false" customHeight="true" outlineLevel="0" collapsed="false">
      <c r="B13" s="21" t="s">
        <v>586</v>
      </c>
      <c r="C13" s="44" t="s">
        <v>578</v>
      </c>
      <c r="D13" s="21" t="s">
        <v>41</v>
      </c>
      <c r="E13" s="21" t="n">
        <v>2</v>
      </c>
      <c r="F13" s="42" t="n">
        <v>45412</v>
      </c>
    </row>
    <row r="14" customFormat="false" ht="16.5" hidden="false" customHeight="true" outlineLevel="0" collapsed="false">
      <c r="B14" s="21" t="s">
        <v>587</v>
      </c>
      <c r="C14" s="44" t="s">
        <v>588</v>
      </c>
      <c r="D14" s="21" t="s">
        <v>41</v>
      </c>
      <c r="E14" s="21" t="n">
        <v>3</v>
      </c>
      <c r="F14" s="42" t="n">
        <v>45458</v>
      </c>
      <c r="H14" s="21" t="s">
        <v>589</v>
      </c>
      <c r="K14" s="21" t="s">
        <v>590</v>
      </c>
      <c r="L14" s="1" t="n">
        <f aca="false">COUNTA(C3:C185)</f>
        <v>86</v>
      </c>
    </row>
    <row r="15" customFormat="false" ht="15" hidden="false" customHeight="true" outlineLevel="0" collapsed="false">
      <c r="B15" s="21" t="s">
        <v>591</v>
      </c>
      <c r="C15" s="21" t="s">
        <v>578</v>
      </c>
      <c r="D15" s="21" t="s">
        <v>36</v>
      </c>
      <c r="E15" s="21" t="n">
        <v>2</v>
      </c>
      <c r="F15" s="42" t="n">
        <v>45411</v>
      </c>
      <c r="H15" s="21" t="s">
        <v>592</v>
      </c>
      <c r="I15" s="21" t="s">
        <v>593</v>
      </c>
    </row>
    <row r="16" customFormat="false" ht="15" hidden="false" customHeight="true" outlineLevel="0" collapsed="false">
      <c r="B16" s="21" t="s">
        <v>594</v>
      </c>
      <c r="C16" s="21" t="s">
        <v>595</v>
      </c>
      <c r="D16" s="21" t="s">
        <v>41</v>
      </c>
      <c r="E16" s="21" t="n">
        <v>3</v>
      </c>
      <c r="F16" s="42" t="n">
        <v>45357</v>
      </c>
      <c r="H16" s="21" t="s">
        <v>596</v>
      </c>
    </row>
    <row r="17" customFormat="false" ht="15" hidden="false" customHeight="true" outlineLevel="0" collapsed="false">
      <c r="B17" s="21" t="s">
        <v>597</v>
      </c>
      <c r="C17" s="21" t="s">
        <v>598</v>
      </c>
      <c r="D17" s="21" t="s">
        <v>36</v>
      </c>
      <c r="E17" s="21" t="n">
        <v>1</v>
      </c>
      <c r="F17" s="42" t="n">
        <v>45353</v>
      </c>
      <c r="G17" s="57"/>
      <c r="H17" s="57"/>
    </row>
    <row r="18" customFormat="false" ht="14.25" hidden="false" customHeight="true" outlineLevel="0" collapsed="false">
      <c r="B18" s="1" t="s">
        <v>599</v>
      </c>
      <c r="C18" s="21" t="s">
        <v>600</v>
      </c>
      <c r="D18" s="21" t="s">
        <v>36</v>
      </c>
      <c r="E18" s="21" t="n">
        <v>3</v>
      </c>
      <c r="F18" s="21" t="s">
        <v>601</v>
      </c>
      <c r="G18" s="57"/>
      <c r="H18" s="57"/>
    </row>
    <row r="19" customFormat="false" ht="14.25" hidden="false" customHeight="true" outlineLevel="0" collapsed="false">
      <c r="B19" s="1" t="s">
        <v>602</v>
      </c>
      <c r="F19" s="42"/>
      <c r="H19" s="57"/>
    </row>
    <row r="20" customFormat="false" ht="15" hidden="false" customHeight="true" outlineLevel="0" collapsed="false">
      <c r="B20" s="1" t="s">
        <v>603</v>
      </c>
      <c r="C20" s="44" t="s">
        <v>588</v>
      </c>
      <c r="D20" s="21" t="s">
        <v>36</v>
      </c>
      <c r="E20" s="21" t="n">
        <v>4</v>
      </c>
      <c r="F20" s="42" t="n">
        <v>45458</v>
      </c>
      <c r="H20" s="21" t="s">
        <v>604</v>
      </c>
      <c r="M20" s="52"/>
    </row>
    <row r="21" customFormat="false" ht="15" hidden="false" customHeight="true" outlineLevel="0" collapsed="false">
      <c r="B21" s="1" t="s">
        <v>605</v>
      </c>
      <c r="C21" s="21" t="s">
        <v>606</v>
      </c>
      <c r="D21" s="21" t="s">
        <v>36</v>
      </c>
      <c r="E21" s="21" t="n">
        <v>3</v>
      </c>
      <c r="F21" s="42" t="n">
        <v>45341</v>
      </c>
      <c r="H21" s="21"/>
    </row>
    <row r="22" customFormat="false" ht="15" hidden="false" customHeight="true" outlineLevel="0" collapsed="false">
      <c r="B22" s="21" t="s">
        <v>607</v>
      </c>
      <c r="C22" s="21" t="s">
        <v>608</v>
      </c>
      <c r="D22" s="21" t="s">
        <v>36</v>
      </c>
      <c r="E22" s="21" t="n">
        <v>4</v>
      </c>
      <c r="F22" s="42" t="n">
        <v>45405</v>
      </c>
      <c r="H22" s="21" t="s">
        <v>596</v>
      </c>
      <c r="L22" s="52"/>
    </row>
    <row r="23" customFormat="false" ht="15" hidden="false" customHeight="true" outlineLevel="0" collapsed="false">
      <c r="B23" s="21" t="s">
        <v>609</v>
      </c>
      <c r="C23" s="21" t="s">
        <v>608</v>
      </c>
      <c r="D23" s="21" t="s">
        <v>41</v>
      </c>
      <c r="E23" s="21" t="n">
        <v>6</v>
      </c>
      <c r="F23" s="42" t="n">
        <v>45405</v>
      </c>
      <c r="H23" s="21" t="s">
        <v>596</v>
      </c>
    </row>
    <row r="24" customFormat="false" ht="15" hidden="false" customHeight="true" outlineLevel="0" collapsed="false">
      <c r="B24" s="21" t="s">
        <v>610</v>
      </c>
      <c r="C24" s="44" t="s">
        <v>142</v>
      </c>
      <c r="D24" s="21" t="s">
        <v>36</v>
      </c>
      <c r="E24" s="21" t="n">
        <v>5</v>
      </c>
      <c r="F24" s="42" t="n">
        <v>45650</v>
      </c>
      <c r="G24" s="52"/>
      <c r="H24" s="52"/>
    </row>
    <row r="25" customFormat="false" ht="15" hidden="false" customHeight="true" outlineLevel="0" collapsed="false">
      <c r="B25" s="21" t="s">
        <v>611</v>
      </c>
      <c r="C25" s="21" t="s">
        <v>199</v>
      </c>
      <c r="D25" s="21" t="s">
        <v>36</v>
      </c>
      <c r="E25" s="21" t="n">
        <v>5</v>
      </c>
      <c r="F25" s="42" t="n">
        <v>45566</v>
      </c>
      <c r="H25" s="52" t="s">
        <v>612</v>
      </c>
    </row>
    <row r="26" customFormat="false" ht="15" hidden="false" customHeight="true" outlineLevel="0" collapsed="false">
      <c r="B26" s="21" t="s">
        <v>613</v>
      </c>
      <c r="C26" s="21" t="s">
        <v>199</v>
      </c>
      <c r="D26" s="21" t="s">
        <v>41</v>
      </c>
      <c r="E26" s="21" t="n">
        <v>5</v>
      </c>
      <c r="F26" s="42" t="n">
        <v>45566</v>
      </c>
      <c r="H26" s="52"/>
    </row>
    <row r="27" customFormat="false" ht="15" hidden="false" customHeight="true" outlineLevel="0" collapsed="false">
      <c r="B27" s="21" t="s">
        <v>614</v>
      </c>
      <c r="C27" s="44" t="s">
        <v>615</v>
      </c>
      <c r="D27" s="21" t="s">
        <v>137</v>
      </c>
      <c r="E27" s="21" t="n">
        <v>3</v>
      </c>
      <c r="F27" s="21" t="s">
        <v>616</v>
      </c>
    </row>
    <row r="28" customFormat="false" ht="15" hidden="false" customHeight="true" outlineLevel="0" collapsed="false">
      <c r="B28" s="1" t="s">
        <v>617</v>
      </c>
      <c r="C28" s="21" t="s">
        <v>152</v>
      </c>
      <c r="D28" s="21" t="s">
        <v>137</v>
      </c>
      <c r="E28" s="21" t="n">
        <v>3</v>
      </c>
      <c r="F28" s="42" t="n">
        <v>45442</v>
      </c>
      <c r="H28" s="21"/>
    </row>
    <row r="29" customFormat="false" ht="15" hidden="false" customHeight="true" outlineLevel="0" collapsed="false">
      <c r="B29" s="21" t="s">
        <v>618</v>
      </c>
      <c r="C29" s="44" t="s">
        <v>578</v>
      </c>
      <c r="D29" s="21" t="s">
        <v>41</v>
      </c>
      <c r="E29" s="21" t="n">
        <v>4</v>
      </c>
      <c r="F29" s="42" t="n">
        <v>45411</v>
      </c>
    </row>
    <row r="30" customFormat="false" ht="15" hidden="false" customHeight="true" outlineLevel="0" collapsed="false">
      <c r="B30" s="1" t="s">
        <v>619</v>
      </c>
      <c r="C30" s="21" t="s">
        <v>600</v>
      </c>
      <c r="D30" s="21" t="s">
        <v>41</v>
      </c>
      <c r="E30" s="21" t="n">
        <v>2</v>
      </c>
      <c r="F30" s="42" t="n">
        <v>45631</v>
      </c>
    </row>
    <row r="31" customFormat="false" ht="15" hidden="false" customHeight="true" outlineLevel="0" collapsed="false">
      <c r="B31" s="1" t="s">
        <v>620</v>
      </c>
      <c r="C31" s="21" t="s">
        <v>578</v>
      </c>
      <c r="D31" s="21" t="s">
        <v>41</v>
      </c>
      <c r="E31" s="21" t="n">
        <v>6</v>
      </c>
      <c r="F31" s="56" t="n">
        <v>45454</v>
      </c>
      <c r="G31" s="57"/>
      <c r="H31" s="52" t="s">
        <v>612</v>
      </c>
    </row>
    <row r="32" customFormat="false" ht="14.25" hidden="false" customHeight="true" outlineLevel="0" collapsed="false">
      <c r="B32" s="21" t="s">
        <v>621</v>
      </c>
      <c r="C32" s="65" t="s">
        <v>199</v>
      </c>
      <c r="D32" s="21" t="s">
        <v>41</v>
      </c>
      <c r="E32" s="21" t="n">
        <v>3</v>
      </c>
      <c r="F32" s="42" t="n">
        <v>45525</v>
      </c>
    </row>
    <row r="33" customFormat="false" ht="15" hidden="false" customHeight="true" outlineLevel="0" collapsed="false">
      <c r="B33" s="1" t="s">
        <v>622</v>
      </c>
      <c r="C33" s="21" t="s">
        <v>600</v>
      </c>
      <c r="D33" s="21" t="s">
        <v>36</v>
      </c>
      <c r="E33" s="21" t="n">
        <v>3</v>
      </c>
      <c r="F33" s="42" t="n">
        <v>45631</v>
      </c>
    </row>
    <row r="34" customFormat="false" ht="15" hidden="false" customHeight="true" outlineLevel="0" collapsed="false">
      <c r="B34" s="1" t="s">
        <v>623</v>
      </c>
      <c r="C34" s="44" t="s">
        <v>578</v>
      </c>
      <c r="D34" s="21" t="s">
        <v>36</v>
      </c>
      <c r="E34" s="21" t="n">
        <v>5</v>
      </c>
      <c r="F34" s="42" t="n">
        <v>45548</v>
      </c>
    </row>
    <row r="35" customFormat="false" ht="15.75" hidden="false" customHeight="true" outlineLevel="0" collapsed="false">
      <c r="B35" s="1" t="s">
        <v>624</v>
      </c>
      <c r="C35" s="44" t="s">
        <v>142</v>
      </c>
      <c r="D35" s="21" t="s">
        <v>137</v>
      </c>
      <c r="E35" s="21" t="n">
        <v>2</v>
      </c>
      <c r="F35" s="21" t="s">
        <v>625</v>
      </c>
    </row>
    <row r="36" customFormat="false" ht="15.75" hidden="false" customHeight="true" outlineLevel="0" collapsed="false">
      <c r="B36" s="1" t="s">
        <v>626</v>
      </c>
      <c r="C36" s="44" t="s">
        <v>142</v>
      </c>
      <c r="D36" s="21" t="s">
        <v>41</v>
      </c>
      <c r="E36" s="21" t="n">
        <v>5</v>
      </c>
      <c r="F36" s="42" t="n">
        <v>45650</v>
      </c>
      <c r="G36" s="57"/>
      <c r="H36" s="21"/>
    </row>
    <row r="37" customFormat="false" ht="15.75" hidden="false" customHeight="true" outlineLevel="0" collapsed="false">
      <c r="B37" s="21" t="s">
        <v>627</v>
      </c>
      <c r="C37" s="21" t="s">
        <v>199</v>
      </c>
      <c r="D37" s="21" t="s">
        <v>41</v>
      </c>
      <c r="E37" s="21" t="n">
        <v>4</v>
      </c>
      <c r="F37" s="42" t="n">
        <v>45567</v>
      </c>
      <c r="L37" s="43"/>
    </row>
    <row r="38" customFormat="false" ht="15.75" hidden="false" customHeight="true" outlineLevel="0" collapsed="false">
      <c r="B38" s="21" t="s">
        <v>628</v>
      </c>
      <c r="C38" s="21" t="s">
        <v>199</v>
      </c>
      <c r="D38" s="21" t="s">
        <v>36</v>
      </c>
      <c r="E38" s="21" t="n">
        <v>1</v>
      </c>
      <c r="F38" s="42" t="n">
        <v>45320</v>
      </c>
      <c r="H38" s="21" t="s">
        <v>629</v>
      </c>
      <c r="L38" s="81"/>
    </row>
    <row r="39" customFormat="false" ht="15" hidden="false" customHeight="true" outlineLevel="0" collapsed="false">
      <c r="B39" s="21" t="s">
        <v>630</v>
      </c>
      <c r="F39" s="42"/>
      <c r="L39" s="43"/>
    </row>
    <row r="40" customFormat="false" ht="15.75" hidden="false" customHeight="true" outlineLevel="0" collapsed="false">
      <c r="B40" s="21" t="s">
        <v>631</v>
      </c>
      <c r="C40" s="21" t="s">
        <v>632</v>
      </c>
      <c r="D40" s="21" t="s">
        <v>137</v>
      </c>
      <c r="E40" s="21" t="n">
        <v>2</v>
      </c>
      <c r="F40" s="42" t="s">
        <v>633</v>
      </c>
      <c r="H40" s="21" t="s">
        <v>634</v>
      </c>
      <c r="L40" s="55"/>
    </row>
    <row r="41" customFormat="false" ht="13.5" hidden="false" customHeight="true" outlineLevel="0" collapsed="false">
      <c r="B41" s="21" t="s">
        <v>635</v>
      </c>
      <c r="C41" s="21" t="s">
        <v>636</v>
      </c>
      <c r="D41" s="21" t="s">
        <v>137</v>
      </c>
      <c r="E41" s="21" t="n">
        <v>3</v>
      </c>
      <c r="F41" s="21" t="s">
        <v>637</v>
      </c>
      <c r="L41" s="43"/>
    </row>
    <row r="42" customFormat="false" ht="15.75" hidden="false" customHeight="true" outlineLevel="0" collapsed="false">
      <c r="B42" s="21" t="s">
        <v>135</v>
      </c>
      <c r="F42" s="42"/>
      <c r="L42" s="43"/>
    </row>
    <row r="43" customFormat="false" ht="15.75" hidden="false" customHeight="true" outlineLevel="0" collapsed="false">
      <c r="B43" s="21" t="s">
        <v>143</v>
      </c>
      <c r="F43" s="42"/>
      <c r="L43" s="43"/>
    </row>
    <row r="44" customFormat="false" ht="15.75" hidden="false" customHeight="true" outlineLevel="0" collapsed="false">
      <c r="B44" s="21" t="s">
        <v>144</v>
      </c>
      <c r="C44" s="21"/>
      <c r="D44" s="21"/>
      <c r="E44" s="21"/>
      <c r="F44" s="42"/>
      <c r="G44" s="21"/>
      <c r="H44" s="21"/>
      <c r="L44" s="43"/>
    </row>
    <row r="45" customFormat="false" ht="15.75" hidden="false" customHeight="true" outlineLevel="0" collapsed="false">
      <c r="B45" s="21" t="s">
        <v>146</v>
      </c>
      <c r="F45" s="42"/>
      <c r="L45" s="51"/>
    </row>
    <row r="46" customFormat="false" ht="15.75" hidden="false" customHeight="true" outlineLevel="0" collapsed="false">
      <c r="B46" s="21" t="s">
        <v>55</v>
      </c>
      <c r="C46" s="21" t="s">
        <v>578</v>
      </c>
      <c r="D46" s="21" t="s">
        <v>41</v>
      </c>
      <c r="E46" s="21" t="n">
        <v>1</v>
      </c>
      <c r="F46" s="67" t="n">
        <v>45577</v>
      </c>
      <c r="L46" s="51"/>
    </row>
    <row r="47" customFormat="false" ht="15.75" hidden="false" customHeight="true" outlineLevel="0" collapsed="false">
      <c r="B47" s="21" t="s">
        <v>148</v>
      </c>
      <c r="C47" s="21" t="s">
        <v>600</v>
      </c>
      <c r="D47" s="21" t="s">
        <v>36</v>
      </c>
      <c r="E47" s="21" t="n">
        <v>2</v>
      </c>
      <c r="F47" s="42" t="n">
        <v>45613</v>
      </c>
      <c r="L47" s="43"/>
    </row>
    <row r="48" customFormat="false" ht="15.75" hidden="false" customHeight="true" outlineLevel="0" collapsed="false">
      <c r="B48" s="21" t="s">
        <v>149</v>
      </c>
      <c r="F48" s="42"/>
      <c r="L48" s="43"/>
    </row>
    <row r="49" customFormat="false" ht="15.75" hidden="false" customHeight="true" outlineLevel="0" collapsed="false">
      <c r="B49" s="21" t="s">
        <v>150</v>
      </c>
      <c r="C49" s="21" t="s">
        <v>600</v>
      </c>
      <c r="D49" s="21" t="s">
        <v>41</v>
      </c>
      <c r="E49" s="21" t="n">
        <v>3</v>
      </c>
      <c r="F49" s="42" t="n">
        <v>45613</v>
      </c>
    </row>
    <row r="50" customFormat="false" ht="15.75" hidden="false" customHeight="true" outlineLevel="0" collapsed="false">
      <c r="B50" s="21" t="s">
        <v>151</v>
      </c>
      <c r="C50" s="44" t="s">
        <v>588</v>
      </c>
      <c r="D50" s="21" t="s">
        <v>36</v>
      </c>
      <c r="E50" s="21" t="n">
        <v>3</v>
      </c>
      <c r="F50" s="42" t="n">
        <v>45446</v>
      </c>
      <c r="G50" s="48"/>
      <c r="H50" s="21" t="s">
        <v>589</v>
      </c>
    </row>
    <row r="51" customFormat="false" ht="15.75" hidden="false" customHeight="true" outlineLevel="0" collapsed="false">
      <c r="B51" s="21" t="s">
        <v>153</v>
      </c>
      <c r="C51" s="21" t="s">
        <v>578</v>
      </c>
      <c r="D51" s="21" t="s">
        <v>36</v>
      </c>
      <c r="E51" s="21" t="n">
        <v>2</v>
      </c>
      <c r="F51" s="42" t="n">
        <v>44931</v>
      </c>
      <c r="G51" s="21"/>
      <c r="H51" s="48"/>
      <c r="L51" s="43"/>
    </row>
    <row r="52" customFormat="false" ht="15.75" hidden="false" customHeight="true" outlineLevel="0" collapsed="false">
      <c r="B52" s="21" t="s">
        <v>155</v>
      </c>
      <c r="D52" s="80"/>
      <c r="F52" s="42"/>
      <c r="G52" s="82"/>
    </row>
    <row r="53" customFormat="false" ht="15.75" hidden="false" customHeight="true" outlineLevel="0" collapsed="false">
      <c r="B53" s="21" t="s">
        <v>156</v>
      </c>
      <c r="F53" s="42"/>
      <c r="H53" s="82"/>
    </row>
    <row r="54" customFormat="false" ht="15.75" hidden="false" customHeight="true" outlineLevel="0" collapsed="false">
      <c r="B54" s="21" t="s">
        <v>157</v>
      </c>
      <c r="C54" s="65" t="s">
        <v>574</v>
      </c>
      <c r="D54" s="21" t="s">
        <v>36</v>
      </c>
      <c r="E54" s="21" t="n">
        <v>4</v>
      </c>
      <c r="F54" s="42" t="n">
        <v>45541</v>
      </c>
      <c r="H54" s="21" t="s">
        <v>589</v>
      </c>
    </row>
    <row r="55" customFormat="false" ht="15.75" hidden="false" customHeight="true" outlineLevel="0" collapsed="false">
      <c r="B55" s="21" t="s">
        <v>158</v>
      </c>
      <c r="F55" s="42"/>
    </row>
    <row r="56" customFormat="false" ht="15.75" hidden="false" customHeight="true" outlineLevel="0" collapsed="false">
      <c r="B56" s="21" t="s">
        <v>159</v>
      </c>
      <c r="C56" s="44" t="s">
        <v>77</v>
      </c>
      <c r="D56" s="21" t="s">
        <v>137</v>
      </c>
      <c r="E56" s="21" t="n">
        <v>3</v>
      </c>
      <c r="F56" s="21" t="s">
        <v>638</v>
      </c>
      <c r="G56" s="80"/>
    </row>
    <row r="57" customFormat="false" ht="15.75" hidden="false" customHeight="true" outlineLevel="0" collapsed="false">
      <c r="B57" s="1" t="s">
        <v>160</v>
      </c>
      <c r="C57" s="21" t="s">
        <v>189</v>
      </c>
      <c r="D57" s="21" t="s">
        <v>36</v>
      </c>
      <c r="E57" s="43" t="n">
        <v>2</v>
      </c>
      <c r="F57" s="42" t="n">
        <v>45515</v>
      </c>
      <c r="H57" s="80"/>
    </row>
    <row r="58" customFormat="false" ht="15.75" hidden="false" customHeight="true" outlineLevel="0" collapsed="false">
      <c r="B58" s="21" t="s">
        <v>161</v>
      </c>
      <c r="C58" s="65" t="s">
        <v>606</v>
      </c>
      <c r="D58" s="21" t="s">
        <v>36</v>
      </c>
      <c r="E58" s="43" t="n">
        <v>1</v>
      </c>
      <c r="F58" s="42" t="n">
        <v>45566</v>
      </c>
    </row>
    <row r="59" customFormat="false" ht="15.75" hidden="false" customHeight="true" outlineLevel="0" collapsed="false">
      <c r="B59" s="21" t="s">
        <v>163</v>
      </c>
      <c r="C59" s="21" t="s">
        <v>136</v>
      </c>
      <c r="D59" s="21" t="s">
        <v>41</v>
      </c>
      <c r="E59" s="21" t="n">
        <v>1</v>
      </c>
      <c r="F59" s="42" t="n">
        <v>45031</v>
      </c>
      <c r="H59" s="21" t="s">
        <v>639</v>
      </c>
    </row>
    <row r="60" customFormat="false" ht="15.75" hidden="false" customHeight="true" outlineLevel="0" collapsed="false">
      <c r="B60" s="1" t="s">
        <v>165</v>
      </c>
      <c r="C60" s="64" t="s">
        <v>199</v>
      </c>
      <c r="D60" s="21" t="s">
        <v>36</v>
      </c>
      <c r="E60" s="21" t="n">
        <v>3</v>
      </c>
      <c r="F60" s="42" t="n">
        <v>45430</v>
      </c>
    </row>
    <row r="61" customFormat="false" ht="15.75" hidden="false" customHeight="true" outlineLevel="0" collapsed="false">
      <c r="B61" s="1" t="s">
        <v>166</v>
      </c>
      <c r="C61" s="59" t="s">
        <v>199</v>
      </c>
      <c r="D61" s="21" t="s">
        <v>36</v>
      </c>
      <c r="E61" s="21" t="n">
        <v>1</v>
      </c>
      <c r="F61" s="56" t="n">
        <v>45553</v>
      </c>
    </row>
    <row r="62" customFormat="false" ht="15.75" hidden="false" customHeight="true" outlineLevel="0" collapsed="false">
      <c r="B62" s="21" t="s">
        <v>169</v>
      </c>
      <c r="C62" s="21" t="s">
        <v>199</v>
      </c>
      <c r="D62" s="21" t="s">
        <v>36</v>
      </c>
      <c r="E62" s="43" t="n">
        <v>4</v>
      </c>
      <c r="F62" s="42" t="n">
        <v>45620</v>
      </c>
    </row>
    <row r="63" customFormat="false" ht="15.75" hidden="false" customHeight="true" outlineLevel="0" collapsed="false">
      <c r="B63" s="1" t="s">
        <v>170</v>
      </c>
      <c r="C63" s="21" t="s">
        <v>199</v>
      </c>
      <c r="D63" s="66" t="s">
        <v>41</v>
      </c>
      <c r="E63" s="43" t="n">
        <v>3</v>
      </c>
      <c r="F63" s="42" t="n">
        <v>45571</v>
      </c>
    </row>
    <row r="64" customFormat="false" ht="15.75" hidden="false" customHeight="true" outlineLevel="0" collapsed="false">
      <c r="B64" s="1" t="s">
        <v>61</v>
      </c>
      <c r="C64" s="44"/>
      <c r="F64" s="42"/>
      <c r="G64" s="57"/>
    </row>
    <row r="65" customFormat="false" ht="15.75" hidden="false" customHeight="true" outlineLevel="0" collapsed="false">
      <c r="B65" s="21" t="s">
        <v>172</v>
      </c>
      <c r="C65" s="44" t="s">
        <v>640</v>
      </c>
      <c r="D65" s="21" t="s">
        <v>41</v>
      </c>
      <c r="E65" s="21" t="n">
        <v>1</v>
      </c>
      <c r="F65" s="42" t="n">
        <v>45212</v>
      </c>
      <c r="H65" s="21" t="s">
        <v>641</v>
      </c>
      <c r="I65" s="21" t="s">
        <v>642</v>
      </c>
    </row>
    <row r="66" customFormat="false" ht="15.75" hidden="false" customHeight="true" outlineLevel="0" collapsed="false">
      <c r="B66" s="21" t="s">
        <v>173</v>
      </c>
      <c r="C66" s="21" t="s">
        <v>199</v>
      </c>
      <c r="D66" s="21" t="s">
        <v>41</v>
      </c>
      <c r="E66" s="21" t="n">
        <v>1</v>
      </c>
      <c r="F66" s="42" t="n">
        <v>45430</v>
      </c>
    </row>
    <row r="67" customFormat="false" ht="15.75" hidden="false" customHeight="true" outlineLevel="0" collapsed="false">
      <c r="B67" s="1" t="s">
        <v>174</v>
      </c>
      <c r="C67" s="21" t="s">
        <v>199</v>
      </c>
      <c r="D67" s="21" t="s">
        <v>36</v>
      </c>
      <c r="E67" s="21" t="n">
        <v>3</v>
      </c>
      <c r="F67" s="42" t="n">
        <v>45464</v>
      </c>
    </row>
    <row r="68" customFormat="false" ht="15.75" hidden="false" customHeight="true" outlineLevel="0" collapsed="false">
      <c r="B68" s="21" t="s">
        <v>175</v>
      </c>
      <c r="C68" s="21" t="s">
        <v>636</v>
      </c>
      <c r="D68" s="21" t="s">
        <v>36</v>
      </c>
      <c r="E68" s="21" t="n">
        <v>1</v>
      </c>
      <c r="F68" s="42" t="n">
        <v>45584</v>
      </c>
    </row>
    <row r="69" customFormat="false" ht="15.75" hidden="false" customHeight="true" outlineLevel="0" collapsed="false">
      <c r="B69" s="21" t="s">
        <v>176</v>
      </c>
      <c r="C69" s="21" t="s">
        <v>636</v>
      </c>
      <c r="D69" s="21" t="s">
        <v>41</v>
      </c>
      <c r="E69" s="21" t="n">
        <v>4</v>
      </c>
      <c r="F69" s="42" t="n">
        <v>45584</v>
      </c>
    </row>
    <row r="70" customFormat="false" ht="15.75" hidden="false" customHeight="true" outlineLevel="0" collapsed="false">
      <c r="B70" s="1" t="s">
        <v>177</v>
      </c>
      <c r="C70" s="44" t="s">
        <v>142</v>
      </c>
      <c r="D70" s="21" t="s">
        <v>137</v>
      </c>
      <c r="E70" s="21" t="n">
        <v>2</v>
      </c>
      <c r="F70" s="42" t="n">
        <v>45057</v>
      </c>
    </row>
    <row r="71" customFormat="false" ht="15.75" hidden="false" customHeight="true" outlineLevel="0" collapsed="false">
      <c r="B71" s="21" t="s">
        <v>178</v>
      </c>
      <c r="C71" s="21" t="s">
        <v>199</v>
      </c>
      <c r="D71" s="21" t="s">
        <v>36</v>
      </c>
      <c r="E71" s="21" t="n">
        <v>2</v>
      </c>
      <c r="F71" s="58" t="n">
        <v>45569</v>
      </c>
      <c r="H71" s="21" t="s">
        <v>643</v>
      </c>
    </row>
    <row r="72" customFormat="false" ht="15.75" hidden="false" customHeight="true" outlineLevel="0" collapsed="false">
      <c r="B72" s="1" t="s">
        <v>179</v>
      </c>
      <c r="C72" s="21" t="s">
        <v>644</v>
      </c>
      <c r="D72" s="21" t="s">
        <v>137</v>
      </c>
      <c r="E72" s="21" t="n">
        <v>3</v>
      </c>
      <c r="F72" s="21" t="s">
        <v>645</v>
      </c>
      <c r="H72" s="21" t="s">
        <v>646</v>
      </c>
    </row>
    <row r="73" customFormat="false" ht="15.75" hidden="false" customHeight="true" outlineLevel="0" collapsed="false">
      <c r="B73" s="21" t="s">
        <v>180</v>
      </c>
      <c r="C73" s="21" t="s">
        <v>644</v>
      </c>
      <c r="D73" s="21" t="s">
        <v>137</v>
      </c>
      <c r="E73" s="21" t="n">
        <v>2</v>
      </c>
      <c r="F73" s="21" t="s">
        <v>645</v>
      </c>
      <c r="H73" s="21" t="s">
        <v>647</v>
      </c>
    </row>
    <row r="74" customFormat="false" ht="15.75" hidden="false" customHeight="true" outlineLevel="0" collapsed="false">
      <c r="B74" s="1" t="s">
        <v>181</v>
      </c>
      <c r="C74" s="21" t="s">
        <v>199</v>
      </c>
      <c r="D74" s="21" t="s">
        <v>41</v>
      </c>
      <c r="E74" s="21" t="n">
        <v>6</v>
      </c>
      <c r="F74" s="42" t="n">
        <v>45594</v>
      </c>
    </row>
    <row r="75" customFormat="false" ht="15.75" hidden="false" customHeight="true" outlineLevel="0" collapsed="false">
      <c r="B75" s="1" t="s">
        <v>182</v>
      </c>
      <c r="C75" s="21" t="s">
        <v>644</v>
      </c>
      <c r="D75" s="21" t="s">
        <v>36</v>
      </c>
      <c r="E75" s="21" t="n">
        <v>5</v>
      </c>
      <c r="F75" s="42" t="n">
        <v>45541</v>
      </c>
      <c r="H75" s="21" t="s">
        <v>646</v>
      </c>
    </row>
    <row r="76" customFormat="false" ht="15.75" hidden="false" customHeight="true" outlineLevel="0" collapsed="false">
      <c r="B76" s="21" t="s">
        <v>183</v>
      </c>
      <c r="C76" s="21" t="s">
        <v>648</v>
      </c>
      <c r="D76" s="21" t="s">
        <v>36</v>
      </c>
      <c r="E76" s="21" t="n">
        <v>5</v>
      </c>
      <c r="F76" s="42" t="n">
        <v>45514</v>
      </c>
    </row>
    <row r="77" customFormat="false" ht="15.75" hidden="false" customHeight="true" outlineLevel="0" collapsed="false">
      <c r="B77" s="21" t="s">
        <v>184</v>
      </c>
      <c r="F77" s="42"/>
    </row>
    <row r="78" customFormat="false" ht="15.75" hidden="false" customHeight="true" outlineLevel="0" collapsed="false">
      <c r="B78" s="21" t="s">
        <v>186</v>
      </c>
      <c r="C78" s="44" t="s">
        <v>199</v>
      </c>
      <c r="D78" s="21" t="s">
        <v>36</v>
      </c>
      <c r="E78" s="21" t="n">
        <v>2</v>
      </c>
      <c r="F78" s="42" t="n">
        <v>45429</v>
      </c>
    </row>
    <row r="79" customFormat="false" ht="15.75" hidden="false" customHeight="true" outlineLevel="0" collapsed="false">
      <c r="B79" s="21" t="s">
        <v>649</v>
      </c>
      <c r="F79" s="42"/>
    </row>
    <row r="80" customFormat="false" ht="15.75" hidden="false" customHeight="true" outlineLevel="0" collapsed="false">
      <c r="B80" s="21" t="s">
        <v>650</v>
      </c>
      <c r="C80" s="44" t="s">
        <v>651</v>
      </c>
      <c r="D80" s="21" t="s">
        <v>41</v>
      </c>
      <c r="E80" s="21" t="n">
        <v>3</v>
      </c>
      <c r="F80" s="42" t="n">
        <v>45341</v>
      </c>
      <c r="H80" s="21" t="s">
        <v>652</v>
      </c>
    </row>
    <row r="81" customFormat="false" ht="15.75" hidden="false" customHeight="true" outlineLevel="0" collapsed="false">
      <c r="B81" s="1" t="s">
        <v>185</v>
      </c>
      <c r="C81" s="21" t="s">
        <v>648</v>
      </c>
      <c r="D81" s="21" t="s">
        <v>41</v>
      </c>
      <c r="E81" s="21" t="n">
        <v>3</v>
      </c>
      <c r="F81" s="56" t="n">
        <v>45514</v>
      </c>
      <c r="G81" s="57"/>
      <c r="H81" s="21" t="s">
        <v>653</v>
      </c>
    </row>
    <row r="82" customFormat="false" ht="15.75" hidden="false" customHeight="true" outlineLevel="0" collapsed="false">
      <c r="B82" s="21" t="s">
        <v>68</v>
      </c>
      <c r="C82" s="21" t="s">
        <v>600</v>
      </c>
      <c r="D82" s="21" t="s">
        <v>41</v>
      </c>
      <c r="E82" s="21" t="n">
        <v>5</v>
      </c>
      <c r="F82" s="56" t="n">
        <v>45583</v>
      </c>
      <c r="G82" s="57"/>
    </row>
    <row r="83" customFormat="false" ht="15.75" hidden="false" customHeight="true" outlineLevel="0" collapsed="false">
      <c r="B83" s="21" t="s">
        <v>193</v>
      </c>
      <c r="F83" s="56"/>
      <c r="G83" s="57"/>
    </row>
    <row r="84" customFormat="false" ht="15.75" hidden="false" customHeight="true" outlineLevel="0" collapsed="false">
      <c r="B84" s="21" t="s">
        <v>203</v>
      </c>
      <c r="C84" s="21" t="s">
        <v>199</v>
      </c>
      <c r="D84" s="21" t="s">
        <v>41</v>
      </c>
      <c r="E84" s="21" t="n">
        <v>3</v>
      </c>
      <c r="F84" s="42" t="n">
        <v>45433</v>
      </c>
      <c r="H84" s="57"/>
    </row>
    <row r="85" customFormat="false" ht="15.75" hidden="false" customHeight="true" outlineLevel="0" collapsed="false">
      <c r="B85" s="21" t="s">
        <v>90</v>
      </c>
      <c r="F85" s="42"/>
    </row>
    <row r="86" customFormat="false" ht="15.75" hidden="false" customHeight="true" outlineLevel="0" collapsed="false">
      <c r="B86" s="21" t="s">
        <v>205</v>
      </c>
      <c r="C86" s="21" t="s">
        <v>199</v>
      </c>
      <c r="D86" s="21" t="s">
        <v>41</v>
      </c>
      <c r="E86" s="63" t="n">
        <v>1</v>
      </c>
      <c r="F86" s="42" t="n">
        <v>45525</v>
      </c>
    </row>
    <row r="87" customFormat="false" ht="15.75" hidden="false" customHeight="true" outlineLevel="0" collapsed="false">
      <c r="B87" s="21" t="s">
        <v>94</v>
      </c>
      <c r="C87" s="59"/>
      <c r="F87" s="42"/>
    </row>
    <row r="88" customFormat="false" ht="15.75" hidden="false" customHeight="true" outlineLevel="0" collapsed="false">
      <c r="B88" s="21" t="s">
        <v>206</v>
      </c>
      <c r="C88" s="44"/>
      <c r="F88" s="42"/>
    </row>
    <row r="89" customFormat="false" ht="15.75" hidden="false" customHeight="true" outlineLevel="0" collapsed="false">
      <c r="B89" s="21" t="s">
        <v>99</v>
      </c>
      <c r="F89" s="42"/>
    </row>
    <row r="90" customFormat="false" ht="15.75" hidden="false" customHeight="true" outlineLevel="0" collapsed="false">
      <c r="B90" s="21" t="s">
        <v>208</v>
      </c>
      <c r="C90" s="21" t="s">
        <v>199</v>
      </c>
      <c r="D90" s="21" t="s">
        <v>41</v>
      </c>
      <c r="E90" s="21" t="n">
        <v>7</v>
      </c>
      <c r="F90" s="42" t="n">
        <v>45569</v>
      </c>
    </row>
    <row r="91" customFormat="false" ht="15.75" hidden="false" customHeight="true" outlineLevel="0" collapsed="false">
      <c r="B91" s="21" t="s">
        <v>103</v>
      </c>
      <c r="C91" s="21" t="s">
        <v>654</v>
      </c>
      <c r="D91" s="21" t="s">
        <v>41</v>
      </c>
      <c r="E91" s="21" t="n">
        <v>4</v>
      </c>
      <c r="F91" s="42" t="n">
        <v>45429</v>
      </c>
      <c r="H91" s="21" t="s">
        <v>596</v>
      </c>
    </row>
    <row r="92" customFormat="false" ht="15.75" hidden="false" customHeight="true" outlineLevel="0" collapsed="false">
      <c r="B92" s="21" t="s">
        <v>209</v>
      </c>
      <c r="C92" s="44"/>
    </row>
    <row r="93" customFormat="false" ht="15.75" hidden="false" customHeight="true" outlineLevel="0" collapsed="false">
      <c r="B93" s="21" t="s">
        <v>210</v>
      </c>
      <c r="C93" s="21" t="s">
        <v>199</v>
      </c>
      <c r="D93" s="21" t="s">
        <v>41</v>
      </c>
      <c r="E93" s="63" t="n">
        <v>1</v>
      </c>
      <c r="F93" s="42" t="n">
        <v>45525</v>
      </c>
    </row>
    <row r="94" customFormat="false" ht="15.75" hidden="false" customHeight="true" outlineLevel="0" collapsed="false">
      <c r="B94" s="21" t="s">
        <v>211</v>
      </c>
      <c r="C94" s="21" t="s">
        <v>136</v>
      </c>
      <c r="D94" s="21" t="s">
        <v>41</v>
      </c>
      <c r="E94" s="63" t="n">
        <v>2</v>
      </c>
      <c r="F94" s="42" t="n">
        <v>45559</v>
      </c>
    </row>
    <row r="95" customFormat="false" ht="15.75" hidden="false" customHeight="true" outlineLevel="0" collapsed="false">
      <c r="B95" s="21" t="s">
        <v>212</v>
      </c>
      <c r="C95" s="21" t="s">
        <v>576</v>
      </c>
      <c r="D95" s="21" t="s">
        <v>41</v>
      </c>
      <c r="E95" s="21" t="n">
        <v>2</v>
      </c>
      <c r="F95" s="42" t="n">
        <v>45123</v>
      </c>
      <c r="H95" s="21" t="s">
        <v>641</v>
      </c>
      <c r="I95" s="21" t="s">
        <v>642</v>
      </c>
    </row>
    <row r="96" customFormat="false" ht="15.75" hidden="false" customHeight="true" outlineLevel="0" collapsed="false">
      <c r="B96" s="21" t="s">
        <v>213</v>
      </c>
      <c r="C96" s="21" t="s">
        <v>654</v>
      </c>
      <c r="D96" s="21" t="s">
        <v>36</v>
      </c>
      <c r="E96" s="21" t="n">
        <v>7</v>
      </c>
      <c r="F96" s="42" t="n">
        <v>45429</v>
      </c>
      <c r="H96" s="21" t="s">
        <v>639</v>
      </c>
    </row>
    <row r="97" customFormat="false" ht="15.75" hidden="false" customHeight="true" outlineLevel="0" collapsed="false">
      <c r="B97" s="21" t="s">
        <v>214</v>
      </c>
      <c r="C97" s="21" t="s">
        <v>199</v>
      </c>
      <c r="D97" s="21" t="s">
        <v>36</v>
      </c>
      <c r="E97" s="21" t="n">
        <v>7</v>
      </c>
      <c r="F97" s="42" t="n">
        <v>45514</v>
      </c>
    </row>
    <row r="98" customFormat="false" ht="15.75" hidden="false" customHeight="true" outlineLevel="0" collapsed="false">
      <c r="B98" s="21" t="s">
        <v>216</v>
      </c>
      <c r="C98" s="44" t="s">
        <v>142</v>
      </c>
      <c r="D98" s="21" t="s">
        <v>41</v>
      </c>
      <c r="E98" s="21" t="n">
        <v>6</v>
      </c>
      <c r="F98" s="21" t="s">
        <v>655</v>
      </c>
    </row>
    <row r="99" customFormat="false" ht="15.75" hidden="false" customHeight="true" outlineLevel="0" collapsed="false">
      <c r="B99" s="21" t="s">
        <v>108</v>
      </c>
      <c r="C99" s="44" t="s">
        <v>142</v>
      </c>
      <c r="D99" s="21" t="s">
        <v>41</v>
      </c>
      <c r="E99" s="21" t="n">
        <v>3</v>
      </c>
      <c r="F99" s="42" t="n">
        <v>45563</v>
      </c>
    </row>
    <row r="100" customFormat="false" ht="15.75" hidden="false" customHeight="true" outlineLevel="0" collapsed="false">
      <c r="B100" s="1" t="s">
        <v>218</v>
      </c>
      <c r="C100" s="21" t="s">
        <v>199</v>
      </c>
      <c r="D100" s="21" t="s">
        <v>36</v>
      </c>
      <c r="E100" s="21" t="n">
        <v>2</v>
      </c>
      <c r="F100" s="83" t="n">
        <v>45594</v>
      </c>
    </row>
    <row r="101" customFormat="false" ht="15.75" hidden="false" customHeight="true" outlineLevel="0" collapsed="false">
      <c r="B101" s="21" t="s">
        <v>219</v>
      </c>
      <c r="C101" s="21" t="s">
        <v>199</v>
      </c>
      <c r="D101" s="21" t="s">
        <v>41</v>
      </c>
      <c r="E101" s="21" t="n">
        <v>5</v>
      </c>
      <c r="F101" s="42" t="n">
        <v>45514</v>
      </c>
    </row>
    <row r="102" customFormat="false" ht="15.75" hidden="false" customHeight="true" outlineLevel="0" collapsed="false">
      <c r="B102" s="21" t="s">
        <v>220</v>
      </c>
      <c r="C102" s="21" t="s">
        <v>199</v>
      </c>
      <c r="D102" s="21" t="s">
        <v>41</v>
      </c>
      <c r="E102" s="21" t="n">
        <v>4</v>
      </c>
      <c r="F102" s="42" t="n">
        <v>45594</v>
      </c>
    </row>
    <row r="103" customFormat="false" ht="15.75" hidden="false" customHeight="true" outlineLevel="0" collapsed="false">
      <c r="B103" s="21" t="s">
        <v>221</v>
      </c>
      <c r="F103" s="42"/>
    </row>
    <row r="104" customFormat="false" ht="15.75" hidden="false" customHeight="true" outlineLevel="0" collapsed="false">
      <c r="B104" s="21" t="s">
        <v>222</v>
      </c>
      <c r="F104" s="42"/>
    </row>
    <row r="105" customFormat="false" ht="15.75" hidden="false" customHeight="true" outlineLevel="0" collapsed="false">
      <c r="B105" s="21" t="s">
        <v>223</v>
      </c>
      <c r="C105" s="21" t="s">
        <v>199</v>
      </c>
      <c r="D105" s="21" t="s">
        <v>36</v>
      </c>
      <c r="E105" s="21" t="n">
        <v>8</v>
      </c>
      <c r="F105" s="42" t="n">
        <v>45529</v>
      </c>
    </row>
    <row r="106" customFormat="false" ht="15.75" hidden="false" customHeight="true" outlineLevel="0" collapsed="false">
      <c r="B106" s="21" t="s">
        <v>224</v>
      </c>
      <c r="C106" s="21" t="s">
        <v>136</v>
      </c>
      <c r="D106" s="21" t="s">
        <v>36</v>
      </c>
      <c r="E106" s="21" t="n">
        <v>4</v>
      </c>
      <c r="F106" s="42" t="n">
        <v>45622</v>
      </c>
      <c r="G106" s="21"/>
    </row>
    <row r="107" customFormat="false" ht="15.75" hidden="false" customHeight="true" outlineLevel="0" collapsed="false">
      <c r="B107" s="21" t="s">
        <v>225</v>
      </c>
      <c r="C107" s="21" t="s">
        <v>136</v>
      </c>
      <c r="D107" s="21" t="s">
        <v>137</v>
      </c>
      <c r="E107" s="21" t="n">
        <v>3</v>
      </c>
      <c r="F107" s="21" t="s">
        <v>656</v>
      </c>
    </row>
    <row r="108" customFormat="false" ht="15" hidden="false" customHeight="true" outlineLevel="0" collapsed="false">
      <c r="B108" s="1" t="s">
        <v>226</v>
      </c>
      <c r="F108" s="42"/>
    </row>
    <row r="109" customFormat="false" ht="15.75" hidden="false" customHeight="true" outlineLevel="0" collapsed="false">
      <c r="B109" s="21" t="s">
        <v>227</v>
      </c>
      <c r="C109" s="21" t="s">
        <v>199</v>
      </c>
      <c r="D109" s="21" t="s">
        <v>41</v>
      </c>
      <c r="E109" s="21" t="n">
        <v>4</v>
      </c>
      <c r="F109" s="42" t="n">
        <v>45529</v>
      </c>
    </row>
    <row r="110" customFormat="false" ht="15.75" hidden="false" customHeight="true" outlineLevel="0" collapsed="false">
      <c r="B110" s="21" t="s">
        <v>228</v>
      </c>
      <c r="C110" s="21" t="s">
        <v>657</v>
      </c>
      <c r="D110" s="21" t="s">
        <v>36</v>
      </c>
      <c r="E110" s="21" t="n">
        <v>1</v>
      </c>
      <c r="F110" s="56" t="n">
        <v>45424</v>
      </c>
      <c r="G110" s="57"/>
    </row>
    <row r="111" customFormat="false" ht="15.75" hidden="false" customHeight="true" outlineLevel="0" collapsed="false">
      <c r="B111" s="21" t="s">
        <v>229</v>
      </c>
      <c r="C111" s="21" t="s">
        <v>199</v>
      </c>
      <c r="D111" s="21" t="s">
        <v>36</v>
      </c>
      <c r="E111" s="21" t="n">
        <v>4</v>
      </c>
      <c r="F111" s="56" t="n">
        <v>45523</v>
      </c>
      <c r="G111" s="57"/>
      <c r="H111" s="57"/>
    </row>
    <row r="112" customFormat="false" ht="15.75" hidden="false" customHeight="true" outlineLevel="0" collapsed="false">
      <c r="B112" s="1" t="s">
        <v>230</v>
      </c>
      <c r="C112" s="44" t="s">
        <v>142</v>
      </c>
      <c r="D112" s="21" t="s">
        <v>36</v>
      </c>
      <c r="E112" s="21" t="n">
        <v>4</v>
      </c>
      <c r="F112" s="21" t="s">
        <v>655</v>
      </c>
      <c r="G112" s="57"/>
      <c r="H112" s="57"/>
    </row>
    <row r="113" customFormat="false" ht="15" hidden="false" customHeight="true" outlineLevel="0" collapsed="false">
      <c r="B113" s="1" t="s">
        <v>231</v>
      </c>
      <c r="C113" s="44" t="s">
        <v>142</v>
      </c>
      <c r="D113" s="21" t="s">
        <v>41</v>
      </c>
      <c r="E113" s="63" t="n">
        <v>4</v>
      </c>
      <c r="F113" s="42" t="n">
        <v>45572</v>
      </c>
      <c r="H113" s="57"/>
    </row>
    <row r="114" customFormat="false" ht="15" hidden="false" customHeight="true" outlineLevel="0" collapsed="false">
      <c r="B114" s="1" t="s">
        <v>232</v>
      </c>
      <c r="C114" s="44" t="s">
        <v>142</v>
      </c>
      <c r="D114" s="21" t="s">
        <v>36</v>
      </c>
      <c r="E114" s="63" t="n">
        <v>2</v>
      </c>
      <c r="F114" s="42" t="n">
        <v>45572</v>
      </c>
    </row>
    <row r="115" customFormat="false" ht="15.75" hidden="false" customHeight="true" outlineLevel="0" collapsed="false">
      <c r="B115" s="1" t="s">
        <v>658</v>
      </c>
      <c r="C115" s="21" t="s">
        <v>199</v>
      </c>
      <c r="D115" s="21" t="s">
        <v>36</v>
      </c>
      <c r="E115" s="63" t="n">
        <v>6</v>
      </c>
      <c r="F115" s="42" t="n">
        <v>45525</v>
      </c>
      <c r="H115" s="21"/>
    </row>
    <row r="116" customFormat="false" ht="15.75" hidden="false" customHeight="true" outlineLevel="0" collapsed="false">
      <c r="B116" s="1" t="s">
        <v>659</v>
      </c>
      <c r="C116" s="21" t="s">
        <v>199</v>
      </c>
      <c r="D116" s="21" t="s">
        <v>41</v>
      </c>
      <c r="E116" s="63" t="n">
        <v>1</v>
      </c>
      <c r="F116" s="42" t="n">
        <v>45525</v>
      </c>
      <c r="H116" s="21"/>
    </row>
    <row r="117" customFormat="false" ht="15.75" hidden="false" customHeight="true" outlineLevel="0" collapsed="false">
      <c r="B117" s="1" t="s">
        <v>660</v>
      </c>
      <c r="E117" s="63"/>
      <c r="F117" s="42"/>
      <c r="H117" s="21"/>
    </row>
    <row r="118" customFormat="false" ht="15.75" hidden="false" customHeight="true" outlineLevel="0" collapsed="false">
      <c r="B118" s="1" t="s">
        <v>661</v>
      </c>
      <c r="C118" s="21" t="s">
        <v>199</v>
      </c>
      <c r="D118" s="21" t="s">
        <v>41</v>
      </c>
      <c r="E118" s="63" t="n">
        <v>4</v>
      </c>
      <c r="F118" s="67" t="n">
        <v>45553</v>
      </c>
      <c r="H118" s="21"/>
    </row>
    <row r="119" customFormat="false" ht="15.75" hidden="false" customHeight="true" outlineLevel="0" collapsed="false">
      <c r="B119" s="1" t="s">
        <v>662</v>
      </c>
      <c r="E119" s="63"/>
      <c r="F119" s="67"/>
    </row>
    <row r="120" customFormat="false" ht="15.75" hidden="false" customHeight="true" outlineLevel="0" collapsed="false">
      <c r="C120" s="21"/>
      <c r="E120" s="63" t="n">
        <f aca="false">SUM(E2:E119)</f>
        <v>281</v>
      </c>
      <c r="H120" s="21"/>
    </row>
    <row r="121" customFormat="false" ht="15.75" hidden="false" customHeight="true" outlineLevel="0" collapsed="false">
      <c r="B121" s="84"/>
      <c r="E121" s="40"/>
    </row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>
      <c r="E124" s="43"/>
      <c r="F124" s="73"/>
      <c r="G124" s="43"/>
      <c r="N124" s="23"/>
    </row>
    <row r="125" customFormat="false" ht="15.75" hidden="false" customHeight="true" outlineLevel="0" collapsed="false">
      <c r="E125" s="43"/>
      <c r="F125" s="73"/>
      <c r="G125" s="43"/>
      <c r="H125" s="54"/>
      <c r="I125" s="23"/>
      <c r="J125" s="23"/>
      <c r="K125" s="23"/>
    </row>
    <row r="126" customFormat="false" ht="15.75" hidden="false" customHeight="true" outlineLevel="0" collapsed="false">
      <c r="E126" s="43"/>
      <c r="F126" s="73"/>
      <c r="G126" s="43"/>
      <c r="H126" s="54"/>
    </row>
    <row r="127" customFormat="false" ht="15.75" hidden="false" customHeight="true" outlineLevel="0" collapsed="false">
      <c r="E127" s="43"/>
      <c r="F127" s="73"/>
      <c r="G127" s="43"/>
      <c r="H127" s="54"/>
    </row>
    <row r="128" customFormat="false" ht="15.75" hidden="false" customHeight="true" outlineLevel="0" collapsed="false">
      <c r="E128" s="43"/>
      <c r="F128" s="73"/>
      <c r="G128" s="43"/>
      <c r="H128" s="54"/>
    </row>
    <row r="129" customFormat="false" ht="15.75" hidden="false" customHeight="true" outlineLevel="0" collapsed="false">
      <c r="E129" s="43"/>
      <c r="F129" s="73"/>
      <c r="G129" s="43"/>
      <c r="H129" s="70"/>
    </row>
    <row r="130" customFormat="false" ht="15.75" hidden="false" customHeight="true" outlineLevel="0" collapsed="false">
      <c r="E130" s="43"/>
      <c r="F130" s="73"/>
      <c r="G130" s="43"/>
      <c r="H130" s="70"/>
    </row>
    <row r="131" customFormat="false" ht="15.75" hidden="false" customHeight="true" outlineLevel="0" collapsed="false">
      <c r="E131" s="43"/>
      <c r="F131" s="73"/>
      <c r="G131" s="43"/>
      <c r="H131" s="54"/>
    </row>
    <row r="132" customFormat="false" ht="15.75" hidden="false" customHeight="true" outlineLevel="0" collapsed="false">
      <c r="E132" s="43"/>
      <c r="F132" s="73"/>
      <c r="G132" s="43"/>
      <c r="H132" s="70"/>
    </row>
    <row r="133" customFormat="false" ht="15.75" hidden="false" customHeight="true" outlineLevel="0" collapsed="false">
      <c r="E133" s="43"/>
      <c r="F133" s="73"/>
      <c r="G133" s="43"/>
      <c r="H133" s="70"/>
    </row>
    <row r="134" customFormat="false" ht="15.75" hidden="false" customHeight="true" outlineLevel="0" collapsed="false">
      <c r="E134" s="43"/>
      <c r="F134" s="74"/>
      <c r="G134" s="43"/>
      <c r="H134" s="70"/>
    </row>
    <row r="135" customFormat="false" ht="15.75" hidden="false" customHeight="true" outlineLevel="0" collapsed="false">
      <c r="E135" s="43"/>
      <c r="F135" s="73"/>
      <c r="G135" s="43"/>
      <c r="H135" s="54"/>
    </row>
    <row r="136" customFormat="false" ht="15.75" hidden="false" customHeight="true" outlineLevel="0" collapsed="false">
      <c r="H136" s="75"/>
    </row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>
      <c r="B206" s="21"/>
      <c r="C206" s="21"/>
      <c r="D206" s="21"/>
      <c r="E206" s="21"/>
      <c r="F206" s="76"/>
    </row>
    <row r="207" customFormat="false" ht="15.75" hidden="false" customHeight="true" outlineLevel="0" collapsed="false">
      <c r="B207" s="21"/>
      <c r="C207" s="21"/>
      <c r="D207" s="21"/>
      <c r="E207" s="21"/>
      <c r="F207" s="76"/>
    </row>
    <row r="208" customFormat="false" ht="15.75" hidden="false" customHeight="true" outlineLevel="0" collapsed="false">
      <c r="B208" s="21"/>
      <c r="C208" s="21"/>
      <c r="D208" s="21"/>
      <c r="E208" s="21"/>
      <c r="F208" s="76"/>
    </row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  <row r="1114" customFormat="false" ht="15.75" hidden="false" customHeight="true" outlineLevel="0" collapsed="false"/>
    <row r="1115" customFormat="false" ht="15.75" hidden="false" customHeight="true" outlineLevel="0" collapsed="false"/>
    <row r="1116" customFormat="false" ht="15.75" hidden="false" customHeight="true" outlineLevel="0" collapsed="false"/>
    <row r="1117" customFormat="false" ht="15.75" hidden="false" customHeight="true" outlineLevel="0" collapsed="false"/>
    <row r="1118" customFormat="false" ht="15.75" hidden="false" customHeight="true" outlineLevel="0" collapsed="false"/>
    <row r="1119" customFormat="false" ht="15.75" hidden="false" customHeight="true" outlineLevel="0" collapsed="false"/>
    <row r="1120" customFormat="false" ht="15.75" hidden="false" customHeight="true" outlineLevel="0" collapsed="false"/>
    <row r="1121" customFormat="false" ht="15.75" hidden="false" customHeight="true" outlineLevel="0" collapsed="false"/>
    <row r="1122" customFormat="false" ht="15.75" hidden="false" customHeight="true" outlineLevel="0" collapsed="false"/>
    <row r="1123" customFormat="false" ht="15.75" hidden="false" customHeight="true" outlineLevel="0" collapsed="false"/>
    <row r="1124" customFormat="false" ht="15.75" hidden="false" customHeight="true" outlineLevel="0" collapsed="false"/>
    <row r="1125" customFormat="false" ht="15.75" hidden="false" customHeight="true" outlineLevel="0" collapsed="false"/>
    <row r="1126" customFormat="false" ht="15.75" hidden="false" customHeight="true" outlineLevel="0" collapsed="false"/>
    <row r="1127" customFormat="false" ht="15.75" hidden="false" customHeight="true" outlineLevel="0" collapsed="false"/>
    <row r="1128" customFormat="false" ht="15.75" hidden="false" customHeight="true" outlineLevel="0" collapsed="false"/>
    <row r="1129" customFormat="false" ht="15.75" hidden="false" customHeight="true" outlineLevel="0" collapsed="false"/>
    <row r="1130" customFormat="false" ht="15.75" hidden="false" customHeight="true" outlineLevel="0" collapsed="false"/>
    <row r="1131" customFormat="false" ht="15.75" hidden="false" customHeight="true" outlineLevel="0" collapsed="false"/>
    <row r="1132" customFormat="false" ht="15.75" hidden="false" customHeight="true" outlineLevel="0" collapsed="false"/>
    <row r="1133" customFormat="false" ht="15.75" hidden="false" customHeight="true" outlineLevel="0" collapsed="false"/>
    <row r="1134" customFormat="false" ht="15.75" hidden="false" customHeight="true" outlineLevel="0" collapsed="false"/>
    <row r="1135" customFormat="false" ht="15.75" hidden="false" customHeight="true" outlineLevel="0" collapsed="false"/>
    <row r="1136" customFormat="false" ht="15.75" hidden="false" customHeight="true" outlineLevel="0" collapsed="false"/>
    <row r="1137" customFormat="false" ht="15.75" hidden="false" customHeight="true" outlineLevel="0" collapsed="false"/>
    <row r="1138" customFormat="false" ht="15.75" hidden="false" customHeight="true" outlineLevel="0" collapsed="false"/>
    <row r="1139" customFormat="false" ht="15.75" hidden="false" customHeight="true" outlineLevel="0" collapsed="false"/>
    <row r="1140" customFormat="false" ht="15.75" hidden="false" customHeight="true" outlineLevel="0" collapsed="false"/>
    <row r="1141" customFormat="false" ht="15.75" hidden="false" customHeight="true" outlineLevel="0" collapsed="false"/>
    <row r="1142" customFormat="false" ht="15.75" hidden="false" customHeight="true" outlineLevel="0" collapsed="false"/>
    <row r="1143" customFormat="false" ht="15.75" hidden="false" customHeight="true" outlineLevel="0" collapsed="false"/>
    <row r="1144" customFormat="false" ht="15.75" hidden="false" customHeight="true" outlineLevel="0" collapsed="false"/>
    <row r="1145" customFormat="false" ht="15.75" hidden="false" customHeight="true" outlineLevel="0" collapsed="false"/>
    <row r="1146" customFormat="false" ht="15.75" hidden="false" customHeight="true" outlineLevel="0" collapsed="false"/>
    <row r="1147" customFormat="false" ht="15.75" hidden="false" customHeight="true" outlineLevel="0" collapsed="false"/>
    <row r="1148" customFormat="false" ht="15.75" hidden="false" customHeight="true" outlineLevel="0" collapsed="false"/>
    <row r="1149" customFormat="false" ht="15.75" hidden="false" customHeight="true" outlineLevel="0" collapsed="false"/>
    <row r="1150" customFormat="false" ht="15.75" hidden="false" customHeight="true" outlineLevel="0" collapsed="false"/>
    <row r="1151" customFormat="false" ht="15.75" hidden="false" customHeight="true" outlineLevel="0" collapsed="false"/>
    <row r="1152" customFormat="false" ht="15.75" hidden="false" customHeight="true" outlineLevel="0" collapsed="false"/>
    <row r="1153" customFormat="false" ht="15.75" hidden="false" customHeight="true" outlineLevel="0" collapsed="false"/>
    <row r="1154" customFormat="false" ht="15.75" hidden="false" customHeight="true" outlineLevel="0" collapsed="false"/>
    <row r="1155" customFormat="false" ht="15.75" hidden="false" customHeight="true" outlineLevel="0" collapsed="false"/>
    <row r="1156" customFormat="false" ht="15.75" hidden="false" customHeight="true" outlineLevel="0" collapsed="false"/>
    <row r="1157" customFormat="false" ht="15.75" hidden="false" customHeight="true" outlineLevel="0" collapsed="false"/>
    <row r="1158" customFormat="false" ht="15.75" hidden="false" customHeight="true" outlineLevel="0" collapsed="false"/>
    <row r="1159" customFormat="false" ht="15.75" hidden="false" customHeight="true" outlineLevel="0" collapsed="false"/>
    <row r="1160" customFormat="false" ht="15.75" hidden="false" customHeight="true" outlineLevel="0" collapsed="false"/>
    <row r="1161" customFormat="false" ht="15.75" hidden="false" customHeight="true" outlineLevel="0" collapsed="false"/>
    <row r="1162" customFormat="false" ht="15.75" hidden="false" customHeight="true" outlineLevel="0" collapsed="false"/>
    <row r="1163" customFormat="false" ht="15.75" hidden="false" customHeight="true" outlineLevel="0" collapsed="false"/>
    <row r="1164" customFormat="false" ht="15.75" hidden="false" customHeight="true" outlineLevel="0" collapsed="false"/>
    <row r="1165" customFormat="false" ht="15.75" hidden="false" customHeight="true" outlineLevel="0" collapsed="false"/>
    <row r="1166" customFormat="false" ht="15.75" hidden="false" customHeight="true" outlineLevel="0" collapsed="false"/>
    <row r="1167" customFormat="false" ht="15.75" hidden="false" customHeight="true" outlineLevel="0" collapsed="false"/>
    <row r="1168" customFormat="false" ht="15.75" hidden="false" customHeight="true" outlineLevel="0" collapsed="false"/>
    <row r="1169" customFormat="false" ht="15.75" hidden="false" customHeight="true" outlineLevel="0" collapsed="false"/>
    <row r="1170" customFormat="false" ht="15.75" hidden="false" customHeight="true" outlineLevel="0" collapsed="false"/>
    <row r="1171" customFormat="false" ht="15.75" hidden="false" customHeight="true" outlineLevel="0" collapsed="false"/>
    <row r="1172" customFormat="false" ht="15.75" hidden="false" customHeight="true" outlineLevel="0" collapsed="false"/>
    <row r="1173" customFormat="false" ht="15.75" hidden="false" customHeight="true" outlineLevel="0" collapsed="false"/>
    <row r="1174" customFormat="false" ht="15.75" hidden="false" customHeight="true" outlineLevel="0" collapsed="false"/>
    <row r="1175" customFormat="false" ht="15.75" hidden="false" customHeight="true" outlineLevel="0" collapsed="false"/>
    <row r="1176" customFormat="false" ht="15.75" hidden="false" customHeight="true" outlineLevel="0" collapsed="false"/>
    <row r="1177" customFormat="false" ht="15.75" hidden="false" customHeight="true" outlineLevel="0" collapsed="false"/>
    <row r="1178" customFormat="false" ht="15.75" hidden="false" customHeight="true" outlineLevel="0" collapsed="false"/>
    <row r="1179" customFormat="false" ht="15.75" hidden="false" customHeight="true" outlineLevel="0" collapsed="false"/>
    <row r="1180" customFormat="false" ht="15.75" hidden="false" customHeight="true" outlineLevel="0" collapsed="false"/>
    <row r="1181" customFormat="false" ht="15.75" hidden="false" customHeight="true" outlineLevel="0" collapsed="false"/>
    <row r="1182" customFormat="false" ht="15.75" hidden="false" customHeight="true" outlineLevel="0" collapsed="false"/>
    <row r="1183" customFormat="false" ht="15.75" hidden="false" customHeight="true" outlineLevel="0" collapsed="false"/>
    <row r="1184" customFormat="false" ht="15.75" hidden="false" customHeight="true" outlineLevel="0" collapsed="false"/>
    <row r="1185" customFormat="false" ht="15.75" hidden="false" customHeight="true" outlineLevel="0" collapsed="false"/>
    <row r="1186" customFormat="false" ht="15.75" hidden="false" customHeight="true" outlineLevel="0" collapsed="false"/>
    <row r="1187" customFormat="false" ht="15.75" hidden="false" customHeight="true" outlineLevel="0" collapsed="false"/>
    <row r="1188" customFormat="false" ht="15.75" hidden="false" customHeight="true" outlineLevel="0" collapsed="false"/>
    <row r="1189" customFormat="false" ht="15.75" hidden="false" customHeight="true" outlineLevel="0" collapsed="false"/>
    <row r="1190" customFormat="false" ht="15.75" hidden="false" customHeight="true" outlineLevel="0" collapsed="false"/>
    <row r="1191" customFormat="false" ht="15.75" hidden="false" customHeight="true" outlineLevel="0" collapsed="false"/>
    <row r="1192" customFormat="false" ht="15.75" hidden="false" customHeight="true" outlineLevel="0" collapsed="false"/>
    <row r="1193" customFormat="false" ht="15.75" hidden="false" customHeight="true" outlineLevel="0" collapsed="false"/>
    <row r="1194" customFormat="false" ht="15.75" hidden="false" customHeight="true" outlineLevel="0" collapsed="false"/>
    <row r="1195" customFormat="false" ht="15.75" hidden="false" customHeight="true" outlineLevel="0" collapsed="false"/>
    <row r="1196" customFormat="false" ht="15.75" hidden="false" customHeight="true" outlineLevel="0" collapsed="false"/>
    <row r="1197" customFormat="false" ht="15.75" hidden="false" customHeight="true" outlineLevel="0" collapsed="false"/>
    <row r="1198" customFormat="false" ht="15.75" hidden="false" customHeight="true" outlineLevel="0" collapsed="false"/>
    <row r="1199" customFormat="false" ht="15.75" hidden="false" customHeight="true" outlineLevel="0" collapsed="false"/>
    <row r="1200" customFormat="false" ht="15.75" hidden="false" customHeight="true" outlineLevel="0" collapsed="false"/>
    <row r="1201" customFormat="false" ht="15.75" hidden="false" customHeight="true" outlineLevel="0" collapsed="false"/>
    <row r="1202" customFormat="false" ht="15.75" hidden="false" customHeight="true" outlineLevel="0" collapsed="false"/>
    <row r="1203" customFormat="false" ht="15.75" hidden="false" customHeight="true" outlineLevel="0" collapsed="false"/>
    <row r="1204" customFormat="false" ht="15.75" hidden="false" customHeight="true" outlineLevel="0" collapsed="false"/>
    <row r="1205" customFormat="false" ht="15.75" hidden="false" customHeight="true" outlineLevel="0" collapsed="false"/>
    <row r="1206" customFormat="false" ht="15.75" hidden="false" customHeight="true" outlineLevel="0" collapsed="false"/>
    <row r="1207" customFormat="false" ht="15.75" hidden="false" customHeight="true" outlineLevel="0" collapsed="false"/>
    <row r="1208" customFormat="false" ht="15.75" hidden="false" customHeight="true" outlineLevel="0" collapsed="false"/>
    <row r="1209" customFormat="false" ht="15.75" hidden="false" customHeight="true" outlineLevel="0" collapsed="false"/>
    <row r="1210" customFormat="false" ht="15.75" hidden="false" customHeight="true" outlineLevel="0" collapsed="false"/>
    <row r="1211" customFormat="false" ht="15.75" hidden="false" customHeight="true" outlineLevel="0" collapsed="false"/>
    <row r="1212" customFormat="false" ht="15.75" hidden="false" customHeight="true" outlineLevel="0" collapsed="false"/>
    <row r="1213" customFormat="false" ht="15.75" hidden="false" customHeight="true" outlineLevel="0" collapsed="false"/>
    <row r="1214" customFormat="false" ht="15.75" hidden="false" customHeight="true" outlineLevel="0" collapsed="false"/>
    <row r="1215" customFormat="false" ht="15.75" hidden="false" customHeight="true" outlineLevel="0" collapsed="false"/>
    <row r="1216" customFormat="false" ht="15.75" hidden="false" customHeight="true" outlineLevel="0" collapsed="false"/>
    <row r="1217" customFormat="false" ht="15.75" hidden="false" customHeight="true" outlineLevel="0" collapsed="false"/>
    <row r="1218" customFormat="false" ht="15.75" hidden="false" customHeight="true" outlineLevel="0" collapsed="false"/>
    <row r="1219" customFormat="false" ht="15.75" hidden="false" customHeight="true" outlineLevel="0" collapsed="false"/>
    <row r="1220" customFormat="false" ht="15.75" hidden="false" customHeight="true" outlineLevel="0" collapsed="false"/>
    <row r="1221" customFormat="false" ht="15.75" hidden="false" customHeight="true" outlineLevel="0" collapsed="false"/>
    <row r="1222" customFormat="false" ht="15.75" hidden="false" customHeight="true" outlineLevel="0" collapsed="false"/>
    <row r="1223" customFormat="false" ht="15.75" hidden="false" customHeight="true" outlineLevel="0" collapsed="false"/>
    <row r="1224" customFormat="false" ht="15.75" hidden="false" customHeight="true" outlineLevel="0" collapsed="false"/>
    <row r="1225" customFormat="false" ht="15.75" hidden="false" customHeight="true" outlineLevel="0" collapsed="false"/>
    <row r="1226" customFormat="false" ht="15.75" hidden="false" customHeight="true" outlineLevel="0" collapsed="false"/>
    <row r="1227" customFormat="false" ht="15.75" hidden="false" customHeight="true" outlineLevel="0" collapsed="false"/>
    <row r="1228" customFormat="false" ht="15.75" hidden="false" customHeight="true" outlineLevel="0" collapsed="false"/>
    <row r="1229" customFormat="false" ht="15.75" hidden="false" customHeight="true" outlineLevel="0" collapsed="false"/>
    <row r="1230" customFormat="false" ht="15.75" hidden="false" customHeight="true" outlineLevel="0" collapsed="false"/>
    <row r="1231" customFormat="false" ht="15.75" hidden="false" customHeight="true" outlineLevel="0" collapsed="false"/>
    <row r="1232" customFormat="false" ht="15.75" hidden="false" customHeight="true" outlineLevel="0" collapsed="false"/>
    <row r="1233" customFormat="false" ht="15.75" hidden="false" customHeight="true" outlineLevel="0" collapsed="false"/>
    <row r="1234" customFormat="false" ht="15.75" hidden="false" customHeight="true" outlineLevel="0" collapsed="false"/>
    <row r="1235" customFormat="false" ht="15.75" hidden="false" customHeight="true" outlineLevel="0" collapsed="false"/>
    <row r="1236" customFormat="false" ht="15.75" hidden="false" customHeight="true" outlineLevel="0" collapsed="false"/>
    <row r="1237" customFormat="false" ht="15.75" hidden="false" customHeight="true" outlineLevel="0" collapsed="false"/>
    <row r="1238" customFormat="false" ht="15.75" hidden="false" customHeight="true" outlineLevel="0" collapsed="false"/>
    <row r="1239" customFormat="false" ht="15.75" hidden="false" customHeight="true" outlineLevel="0" collapsed="false"/>
    <row r="1240" customFormat="false" ht="15.75" hidden="false" customHeight="true" outlineLevel="0" collapsed="false"/>
    <row r="1241" customFormat="false" ht="15.75" hidden="false" customHeight="true" outlineLevel="0" collapsed="false"/>
    <row r="1242" customFormat="false" ht="15.75" hidden="false" customHeight="true" outlineLevel="0" collapsed="false"/>
    <row r="1243" customFormat="false" ht="15.75" hidden="false" customHeight="true" outlineLevel="0" collapsed="false"/>
    <row r="1244" customFormat="false" ht="15.75" hidden="false" customHeight="true" outlineLevel="0" collapsed="false"/>
    <row r="1245" customFormat="false" ht="15.75" hidden="false" customHeight="true" outlineLevel="0" collapsed="false"/>
    <row r="1246" customFormat="false" ht="15.75" hidden="false" customHeight="true" outlineLevel="0" collapsed="false"/>
    <row r="1247" customFormat="false" ht="15.75" hidden="false" customHeight="true" outlineLevel="0" collapsed="false"/>
    <row r="1248" customFormat="false" ht="15.75" hidden="false" customHeight="true" outlineLevel="0" collapsed="false"/>
    <row r="1249" customFormat="false" ht="15.75" hidden="false" customHeight="true" outlineLevel="0" collapsed="false"/>
    <row r="1250" customFormat="false" ht="15.75" hidden="false" customHeight="true" outlineLevel="0" collapsed="false"/>
    <row r="1251" customFormat="false" ht="15.75" hidden="false" customHeight="true" outlineLevel="0" collapsed="false"/>
    <row r="1252" customFormat="false" ht="15.75" hidden="false" customHeight="true" outlineLevel="0" collapsed="false"/>
    <row r="1253" customFormat="false" ht="15.75" hidden="false" customHeight="true" outlineLevel="0" collapsed="false"/>
    <row r="1254" customFormat="false" ht="15.75" hidden="false" customHeight="true" outlineLevel="0" collapsed="false"/>
    <row r="1255" customFormat="false" ht="15.75" hidden="false" customHeight="true" outlineLevel="0" collapsed="false"/>
    <row r="1256" customFormat="false" ht="15.75" hidden="false" customHeight="true" outlineLevel="0" collapsed="false"/>
    <row r="1257" customFormat="false" ht="15.75" hidden="false" customHeight="true" outlineLevel="0" collapsed="false"/>
    <row r="1258" customFormat="false" ht="15.75" hidden="false" customHeight="true" outlineLevel="0" collapsed="false"/>
    <row r="1259" customFormat="false" ht="15.75" hidden="false" customHeight="true" outlineLevel="0" collapsed="false"/>
    <row r="1260" customFormat="false" ht="15.75" hidden="false" customHeight="true" outlineLevel="0" collapsed="false"/>
    <row r="1261" customFormat="false" ht="15.75" hidden="false" customHeight="true" outlineLevel="0" collapsed="false"/>
    <row r="1262" customFormat="false" ht="15.75" hidden="false" customHeight="true" outlineLevel="0" collapsed="false"/>
    <row r="1263" customFormat="false" ht="15.75" hidden="false" customHeight="true" outlineLevel="0" collapsed="false"/>
    <row r="1264" customFormat="false" ht="15.75" hidden="false" customHeight="true" outlineLevel="0" collapsed="false"/>
    <row r="1265" customFormat="false" ht="15.75" hidden="false" customHeight="true" outlineLevel="0" collapsed="false"/>
    <row r="1266" customFormat="false" ht="15.75" hidden="false" customHeight="true" outlineLevel="0" collapsed="false"/>
    <row r="1267" customFormat="false" ht="15.75" hidden="false" customHeight="true" outlineLevel="0" collapsed="false"/>
    <row r="1268" customFormat="false" ht="15.75" hidden="false" customHeight="true" outlineLevel="0" collapsed="false"/>
    <row r="1269" customFormat="false" ht="15.75" hidden="false" customHeight="true" outlineLevel="0" collapsed="false"/>
    <row r="1270" customFormat="false" ht="15.75" hidden="false" customHeight="true" outlineLevel="0" collapsed="false"/>
    <row r="1271" customFormat="false" ht="15.75" hidden="false" customHeight="true" outlineLevel="0" collapsed="false"/>
    <row r="1272" customFormat="false" ht="15.75" hidden="false" customHeight="true" outlineLevel="0" collapsed="false"/>
    <row r="1273" customFormat="false" ht="15.75" hidden="false" customHeight="true" outlineLevel="0" collapsed="false"/>
    <row r="1274" customFormat="false" ht="15.75" hidden="false" customHeight="true" outlineLevel="0" collapsed="false"/>
    <row r="1275" customFormat="false" ht="15.75" hidden="false" customHeight="true" outlineLevel="0" collapsed="false"/>
    <row r="1276" customFormat="false" ht="15.75" hidden="false" customHeight="true" outlineLevel="0" collapsed="false"/>
    <row r="1277" customFormat="false" ht="15.75" hidden="false" customHeight="true" outlineLevel="0" collapsed="false"/>
    <row r="1278" customFormat="false" ht="15.75" hidden="false" customHeight="true" outlineLevel="0" collapsed="false"/>
    <row r="1279" customFormat="false" ht="15.75" hidden="false" customHeight="true" outlineLevel="0" collapsed="false"/>
    <row r="1280" customFormat="false" ht="15.75" hidden="false" customHeight="true" outlineLevel="0" collapsed="false"/>
    <row r="1281" customFormat="false" ht="15.75" hidden="false" customHeight="true" outlineLevel="0" collapsed="false"/>
    <row r="1282" customFormat="false" ht="15.75" hidden="false" customHeight="true" outlineLevel="0" collapsed="false"/>
    <row r="1283" customFormat="false" ht="15.75" hidden="false" customHeight="true" outlineLevel="0" collapsed="false"/>
    <row r="1284" customFormat="false" ht="15.75" hidden="false" customHeight="true" outlineLevel="0" collapsed="false"/>
    <row r="1285" customFormat="false" ht="15.75" hidden="false" customHeight="true" outlineLevel="0" collapsed="false"/>
    <row r="1286" customFormat="false" ht="15.75" hidden="false" customHeight="true" outlineLevel="0" collapsed="false"/>
    <row r="1287" customFormat="false" ht="15.75" hidden="false" customHeight="true" outlineLevel="0" collapsed="false"/>
    <row r="1288" customFormat="false" ht="15.75" hidden="false" customHeight="true" outlineLevel="0" collapsed="false"/>
    <row r="1289" customFormat="false" ht="15.75" hidden="false" customHeight="true" outlineLevel="0" collapsed="false"/>
    <row r="1290" customFormat="false" ht="15.75" hidden="false" customHeight="true" outlineLevel="0" collapsed="false"/>
    <row r="1291" customFormat="false" ht="15.75" hidden="false" customHeight="true" outlineLevel="0" collapsed="false"/>
    <row r="1292" customFormat="false" ht="15.75" hidden="false" customHeight="true" outlineLevel="0" collapsed="false"/>
    <row r="1293" customFormat="false" ht="15.75" hidden="false" customHeight="true" outlineLevel="0" collapsed="false"/>
    <row r="1294" customFormat="false" ht="15.75" hidden="false" customHeight="true" outlineLevel="0" collapsed="false"/>
    <row r="1295" customFormat="false" ht="15.75" hidden="false" customHeight="true" outlineLevel="0" collapsed="false"/>
    <row r="1296" customFormat="false" ht="15.75" hidden="false" customHeight="true" outlineLevel="0" collapsed="false"/>
    <row r="1297" customFormat="false" ht="15.75" hidden="false" customHeight="true" outlineLevel="0" collapsed="false"/>
    <row r="1298" customFormat="false" ht="15.75" hidden="false" customHeight="true" outlineLevel="0" collapsed="false"/>
    <row r="1299" customFormat="false" ht="15.75" hidden="false" customHeight="true" outlineLevel="0" collapsed="false"/>
    <row r="1300" customFormat="false" ht="15.75" hidden="false" customHeight="true" outlineLevel="0" collapsed="false"/>
    <row r="1301" customFormat="false" ht="15.75" hidden="false" customHeight="true" outlineLevel="0" collapsed="false"/>
    <row r="1302" customFormat="false" ht="15.75" hidden="false" customHeight="true" outlineLevel="0" collapsed="false"/>
    <row r="1303" customFormat="false" ht="15.75" hidden="false" customHeight="true" outlineLevel="0" collapsed="false"/>
    <row r="1304" customFormat="false" ht="15.75" hidden="false" customHeight="true" outlineLevel="0" collapsed="false"/>
    <row r="1305" customFormat="false" ht="15.75" hidden="false" customHeight="true" outlineLevel="0" collapsed="false"/>
    <row r="1306" customFormat="false" ht="15.75" hidden="false" customHeight="true" outlineLevel="0" collapsed="false"/>
    <row r="1307" customFormat="false" ht="15.75" hidden="false" customHeight="true" outlineLevel="0" collapsed="false"/>
    <row r="1308" customFormat="false" ht="15.75" hidden="false" customHeight="true" outlineLevel="0" collapsed="false"/>
    <row r="1309" customFormat="false" ht="15.75" hidden="false" customHeight="true" outlineLevel="0" collapsed="false"/>
    <row r="1310" customFormat="false" ht="15.75" hidden="false" customHeight="true" outlineLevel="0" collapsed="false"/>
    <row r="1311" customFormat="false" ht="15.75" hidden="false" customHeight="true" outlineLevel="0" collapsed="false"/>
    <row r="1312" customFormat="false" ht="15.75" hidden="false" customHeight="true" outlineLevel="0" collapsed="false"/>
    <row r="1313" customFormat="false" ht="15.75" hidden="false" customHeight="true" outlineLevel="0" collapsed="false"/>
    <row r="1314" customFormat="false" ht="15.75" hidden="false" customHeight="true" outlineLevel="0" collapsed="false"/>
    <row r="1315" customFormat="false" ht="15.75" hidden="false" customHeight="true" outlineLevel="0" collapsed="false"/>
    <row r="1316" customFormat="false" ht="15.75" hidden="false" customHeight="true" outlineLevel="0" collapsed="false"/>
    <row r="1317" customFormat="false" ht="15.75" hidden="false" customHeight="true" outlineLevel="0" collapsed="false"/>
    <row r="1318" customFormat="false" ht="15.75" hidden="false" customHeight="true" outlineLevel="0" collapsed="false"/>
    <row r="1319" customFormat="false" ht="15.75" hidden="false" customHeight="true" outlineLevel="0" collapsed="false"/>
    <row r="1320" customFormat="false" ht="15.75" hidden="false" customHeight="true" outlineLevel="0" collapsed="false"/>
    <row r="1321" customFormat="false" ht="15.75" hidden="false" customHeight="true" outlineLevel="0" collapsed="false"/>
    <row r="1322" customFormat="false" ht="15.75" hidden="false" customHeight="true" outlineLevel="0" collapsed="false"/>
    <row r="1323" customFormat="false" ht="15.75" hidden="false" customHeight="true" outlineLevel="0" collapsed="false"/>
    <row r="1324" customFormat="false" ht="15.75" hidden="false" customHeight="true" outlineLevel="0" collapsed="false"/>
    <row r="1325" customFormat="false" ht="15.75" hidden="false" customHeight="true" outlineLevel="0" collapsed="false"/>
    <row r="1326" customFormat="false" ht="15.75" hidden="false" customHeight="true" outlineLevel="0" collapsed="false"/>
    <row r="1327" customFormat="false" ht="15.75" hidden="false" customHeight="true" outlineLevel="0" collapsed="false"/>
    <row r="1328" customFormat="false" ht="15.75" hidden="false" customHeight="true" outlineLevel="0" collapsed="false"/>
    <row r="1329" customFormat="false" ht="15.75" hidden="false" customHeight="true" outlineLevel="0" collapsed="false"/>
    <row r="1330" customFormat="false" ht="15.75" hidden="false" customHeight="true" outlineLevel="0" collapsed="false"/>
    <row r="1331" customFormat="false" ht="15.75" hidden="false" customHeight="true" outlineLevel="0" collapsed="false"/>
    <row r="1332" customFormat="false" ht="15.75" hidden="false" customHeight="true" outlineLevel="0" collapsed="false"/>
    <row r="1333" customFormat="false" ht="15.75" hidden="false" customHeight="true" outlineLevel="0" collapsed="false"/>
    <row r="1334" customFormat="false" ht="15.75" hidden="false" customHeight="true" outlineLevel="0" collapsed="false"/>
    <row r="1335" customFormat="false" ht="15.75" hidden="false" customHeight="true" outlineLevel="0" collapsed="false"/>
    <row r="1336" customFormat="false" ht="15.75" hidden="false" customHeight="true" outlineLevel="0" collapsed="false"/>
    <row r="1337" customFormat="false" ht="15.75" hidden="false" customHeight="true" outlineLevel="0" collapsed="false"/>
    <row r="1338" customFormat="false" ht="15.75" hidden="false" customHeight="true" outlineLevel="0" collapsed="false"/>
    <row r="1339" customFormat="false" ht="15.75" hidden="false" customHeight="true" outlineLevel="0" collapsed="false"/>
    <row r="1340" customFormat="false" ht="15.75" hidden="false" customHeight="true" outlineLevel="0" collapsed="false"/>
    <row r="1341" customFormat="false" ht="15.75" hidden="false" customHeight="true" outlineLevel="0" collapsed="false"/>
    <row r="1342" customFormat="false" ht="15.75" hidden="false" customHeight="true" outlineLevel="0" collapsed="false"/>
    <row r="1343" customFormat="false" ht="15.75" hidden="false" customHeight="true" outlineLevel="0" collapsed="false"/>
    <row r="1344" customFormat="false" ht="15.75" hidden="false" customHeight="true" outlineLevel="0" collapsed="false"/>
    <row r="1345" customFormat="false" ht="15.75" hidden="false" customHeight="true" outlineLevel="0" collapsed="false"/>
    <row r="1346" customFormat="false" ht="15.75" hidden="false" customHeight="true" outlineLevel="0" collapsed="false"/>
    <row r="1347" customFormat="false" ht="15.75" hidden="false" customHeight="true" outlineLevel="0" collapsed="false"/>
    <row r="1348" customFormat="false" ht="15.75" hidden="false" customHeight="true" outlineLevel="0" collapsed="false"/>
    <row r="1349" customFormat="false" ht="15.75" hidden="false" customHeight="true" outlineLevel="0" collapsed="false"/>
    <row r="1350" customFormat="false" ht="15.75" hidden="false" customHeight="true" outlineLevel="0" collapsed="false"/>
    <row r="1351" customFormat="false" ht="15.75" hidden="false" customHeight="true" outlineLevel="0" collapsed="false"/>
    <row r="1352" customFormat="false" ht="15.75" hidden="false" customHeight="true" outlineLevel="0" collapsed="false"/>
    <row r="1353" customFormat="false" ht="15.75" hidden="false" customHeight="true" outlineLevel="0" collapsed="false"/>
    <row r="1354" customFormat="false" ht="15.75" hidden="false" customHeight="true" outlineLevel="0" collapsed="false"/>
    <row r="1355" customFormat="false" ht="15.75" hidden="false" customHeight="true" outlineLevel="0" collapsed="false"/>
    <row r="1356" customFormat="false" ht="15.75" hidden="false" customHeight="true" outlineLevel="0" collapsed="false"/>
    <row r="1357" customFormat="false" ht="15.75" hidden="false" customHeight="true" outlineLevel="0" collapsed="false"/>
    <row r="1358" customFormat="false" ht="15.75" hidden="false" customHeight="true" outlineLevel="0" collapsed="false"/>
    <row r="1359" customFormat="false" ht="15.75" hidden="false" customHeight="true" outlineLevel="0" collapsed="false"/>
    <row r="1360" customFormat="false" ht="15.75" hidden="false" customHeight="true" outlineLevel="0" collapsed="false"/>
    <row r="1361" customFormat="false" ht="15.75" hidden="false" customHeight="true" outlineLevel="0" collapsed="false"/>
    <row r="1362" customFormat="false" ht="15.75" hidden="false" customHeight="true" outlineLevel="0" collapsed="false"/>
    <row r="1363" customFormat="false" ht="15.75" hidden="false" customHeight="true" outlineLevel="0" collapsed="false"/>
    <row r="1364" customFormat="false" ht="15.75" hidden="false" customHeight="true" outlineLevel="0" collapsed="false"/>
    <row r="1365" customFormat="false" ht="15.75" hidden="false" customHeight="true" outlineLevel="0" collapsed="false"/>
    <row r="1366" customFormat="false" ht="15.75" hidden="false" customHeight="true" outlineLevel="0" collapsed="false"/>
    <row r="1367" customFormat="false" ht="15.75" hidden="false" customHeight="true" outlineLevel="0" collapsed="false"/>
    <row r="1368" customFormat="false" ht="15.75" hidden="false" customHeight="true" outlineLevel="0" collapsed="false"/>
    <row r="1369" customFormat="false" ht="15.75" hidden="false" customHeight="true" outlineLevel="0" collapsed="false"/>
    <row r="1370" customFormat="false" ht="15.75" hidden="false" customHeight="true" outlineLevel="0" collapsed="false"/>
    <row r="1371" customFormat="false" ht="15.75" hidden="false" customHeight="true" outlineLevel="0" collapsed="false"/>
    <row r="1372" customFormat="false" ht="15.75" hidden="false" customHeight="true" outlineLevel="0" collapsed="false"/>
    <row r="1373" customFormat="false" ht="15.75" hidden="false" customHeight="true" outlineLevel="0" collapsed="false"/>
    <row r="1374" customFormat="false" ht="15.75" hidden="false" customHeight="true" outlineLevel="0" collapsed="false"/>
    <row r="1375" customFormat="false" ht="15.75" hidden="false" customHeight="true" outlineLevel="0" collapsed="false"/>
    <row r="1376" customFormat="false" ht="15.75" hidden="false" customHeight="true" outlineLevel="0" collapsed="false"/>
    <row r="1377" customFormat="false" ht="15.75" hidden="false" customHeight="true" outlineLevel="0" collapsed="false"/>
    <row r="1378" customFormat="false" ht="15.75" hidden="false" customHeight="true" outlineLevel="0" collapsed="false"/>
    <row r="1379" customFormat="false" ht="15.75" hidden="false" customHeight="true" outlineLevel="0" collapsed="false"/>
    <row r="1380" customFormat="false" ht="15.75" hidden="false" customHeight="true" outlineLevel="0" collapsed="false"/>
    <row r="1381" customFormat="false" ht="15.75" hidden="false" customHeight="true" outlineLevel="0" collapsed="false"/>
    <row r="1382" customFormat="false" ht="15.75" hidden="false" customHeight="true" outlineLevel="0" collapsed="false"/>
    <row r="1383" customFormat="false" ht="15.75" hidden="false" customHeight="true" outlineLevel="0" collapsed="false"/>
    <row r="1384" customFormat="false" ht="15.75" hidden="false" customHeight="true" outlineLevel="0" collapsed="false"/>
    <row r="1385" customFormat="false" ht="15.75" hidden="false" customHeight="true" outlineLevel="0" collapsed="false"/>
    <row r="1386" customFormat="false" ht="15.75" hidden="false" customHeight="true" outlineLevel="0" collapsed="false"/>
    <row r="1387" customFormat="false" ht="15.75" hidden="false" customHeight="true" outlineLevel="0" collapsed="false"/>
    <row r="1388" customFormat="false" ht="15.75" hidden="false" customHeight="true" outlineLevel="0" collapsed="false"/>
    <row r="1389" customFormat="false" ht="15.75" hidden="false" customHeight="true" outlineLevel="0" collapsed="false"/>
    <row r="1390" customFormat="false" ht="15.75" hidden="false" customHeight="true" outlineLevel="0" collapsed="false"/>
    <row r="1391" customFormat="false" ht="15.75" hidden="false" customHeight="true" outlineLevel="0" collapsed="false"/>
    <row r="1392" customFormat="false" ht="15.75" hidden="false" customHeight="true" outlineLevel="0" collapsed="false"/>
    <row r="1393" customFormat="false" ht="15.75" hidden="false" customHeight="true" outlineLevel="0" collapsed="false"/>
    <row r="1394" customFormat="false" ht="15.75" hidden="false" customHeight="true" outlineLevel="0" collapsed="false"/>
    <row r="1395" customFormat="false" ht="15.75" hidden="false" customHeight="true" outlineLevel="0" collapsed="false"/>
    <row r="1396" customFormat="false" ht="15.75" hidden="false" customHeight="true" outlineLevel="0" collapsed="false"/>
    <row r="1397" customFormat="false" ht="15.75" hidden="false" customHeight="true" outlineLevel="0" collapsed="false"/>
    <row r="1398" customFormat="false" ht="15.75" hidden="false" customHeight="true" outlineLevel="0" collapsed="false"/>
    <row r="1399" customFormat="false" ht="15.75" hidden="false" customHeight="true" outlineLevel="0" collapsed="false"/>
    <row r="1400" customFormat="false" ht="15.75" hidden="false" customHeight="true" outlineLevel="0" collapsed="false"/>
    <row r="1401" customFormat="false" ht="15.75" hidden="false" customHeight="true" outlineLevel="0" collapsed="false"/>
    <row r="1402" customFormat="false" ht="15.75" hidden="false" customHeight="true" outlineLevel="0" collapsed="false"/>
    <row r="1403" customFormat="false" ht="15.75" hidden="false" customHeight="true" outlineLevel="0" collapsed="false"/>
    <row r="1404" customFormat="false" ht="15.75" hidden="false" customHeight="true" outlineLevel="0" collapsed="false"/>
    <row r="1405" customFormat="false" ht="15.75" hidden="false" customHeight="true" outlineLevel="0" collapsed="false"/>
    <row r="1406" customFormat="false" ht="15.75" hidden="false" customHeight="true" outlineLevel="0" collapsed="false"/>
    <row r="1407" customFormat="false" ht="15.75" hidden="false" customHeight="true" outlineLevel="0" collapsed="false"/>
    <row r="1408" customFormat="false" ht="15.75" hidden="false" customHeight="true" outlineLevel="0" collapsed="false"/>
    <row r="1409" customFormat="false" ht="15.75" hidden="false" customHeight="true" outlineLevel="0" collapsed="false"/>
    <row r="1410" customFormat="false" ht="15.75" hidden="false" customHeight="true" outlineLevel="0" collapsed="false"/>
    <row r="1411" customFormat="false" ht="15.75" hidden="false" customHeight="true" outlineLevel="0" collapsed="false"/>
    <row r="1412" customFormat="false" ht="15.75" hidden="false" customHeight="true" outlineLevel="0" collapsed="false"/>
    <row r="1413" customFormat="false" ht="15.75" hidden="false" customHeight="true" outlineLevel="0" collapsed="false"/>
    <row r="1414" customFormat="false" ht="15.75" hidden="false" customHeight="true" outlineLevel="0" collapsed="false"/>
    <row r="1415" customFormat="false" ht="15.75" hidden="false" customHeight="true" outlineLevel="0" collapsed="false"/>
    <row r="1416" customFormat="false" ht="15.75" hidden="false" customHeight="true" outlineLevel="0" collapsed="false"/>
    <row r="1417" customFormat="false" ht="15.75" hidden="false" customHeight="true" outlineLevel="0" collapsed="false"/>
    <row r="1418" customFormat="false" ht="15.75" hidden="false" customHeight="true" outlineLevel="0" collapsed="false"/>
    <row r="1419" customFormat="false" ht="15.75" hidden="false" customHeight="true" outlineLevel="0" collapsed="false"/>
    <row r="1420" customFormat="false" ht="15.75" hidden="false" customHeight="true" outlineLevel="0" collapsed="false"/>
    <row r="1421" customFormat="false" ht="15.75" hidden="false" customHeight="true" outlineLevel="0" collapsed="false"/>
    <row r="1422" customFormat="false" ht="15.75" hidden="false" customHeight="true" outlineLevel="0" collapsed="false"/>
    <row r="1423" customFormat="false" ht="15.75" hidden="false" customHeight="true" outlineLevel="0" collapsed="false"/>
    <row r="1424" customFormat="false" ht="15.75" hidden="false" customHeight="true" outlineLevel="0" collapsed="false"/>
    <row r="1425" customFormat="false" ht="15.75" hidden="false" customHeight="true" outlineLevel="0" collapsed="false"/>
    <row r="1426" customFormat="false" ht="15.75" hidden="false" customHeight="true" outlineLevel="0" collapsed="false"/>
    <row r="1427" customFormat="false" ht="15.75" hidden="false" customHeight="true" outlineLevel="0" collapsed="false"/>
    <row r="1428" customFormat="false" ht="15.75" hidden="false" customHeight="true" outlineLevel="0" collapsed="false"/>
    <row r="1429" customFormat="false" ht="15.75" hidden="false" customHeight="true" outlineLevel="0" collapsed="false"/>
    <row r="1430" customFormat="false" ht="15.75" hidden="false" customHeight="true" outlineLevel="0" collapsed="false"/>
    <row r="1431" customFormat="false" ht="15.75" hidden="false" customHeight="true" outlineLevel="0" collapsed="false"/>
    <row r="1432" customFormat="false" ht="15.75" hidden="false" customHeight="true" outlineLevel="0" collapsed="false"/>
    <row r="1433" customFormat="false" ht="15.75" hidden="false" customHeight="true" outlineLevel="0" collapsed="false"/>
    <row r="1434" customFormat="false" ht="15.75" hidden="false" customHeight="true" outlineLevel="0" collapsed="false"/>
    <row r="1435" customFormat="false" ht="15.75" hidden="false" customHeight="true" outlineLevel="0" collapsed="false"/>
    <row r="1436" customFormat="false" ht="15.75" hidden="false" customHeight="true" outlineLevel="0" collapsed="false"/>
    <row r="1437" customFormat="false" ht="15.75" hidden="false" customHeight="true" outlineLevel="0" collapsed="false"/>
    <row r="1438" customFormat="false" ht="15.75" hidden="false" customHeight="true" outlineLevel="0" collapsed="false"/>
    <row r="1439" customFormat="false" ht="15.75" hidden="false" customHeight="true" outlineLevel="0" collapsed="false"/>
    <row r="1440" customFormat="false" ht="15.75" hidden="false" customHeight="true" outlineLevel="0" collapsed="false"/>
    <row r="1441" customFormat="false" ht="15.75" hidden="false" customHeight="true" outlineLevel="0" collapsed="false"/>
    <row r="1442" customFormat="false" ht="15.75" hidden="false" customHeight="true" outlineLevel="0" collapsed="false"/>
    <row r="1443" customFormat="false" ht="15.75" hidden="false" customHeight="true" outlineLevel="0" collapsed="false"/>
    <row r="1444" customFormat="false" ht="15.75" hidden="false" customHeight="true" outlineLevel="0" collapsed="false"/>
    <row r="1445" customFormat="false" ht="15.75" hidden="false" customHeight="true" outlineLevel="0" collapsed="false"/>
    <row r="1446" customFormat="false" ht="15.75" hidden="false" customHeight="true" outlineLevel="0" collapsed="false"/>
    <row r="1447" customFormat="false" ht="15.75" hidden="false" customHeight="true" outlineLevel="0" collapsed="false"/>
    <row r="1448" customFormat="false" ht="15.75" hidden="false" customHeight="true" outlineLevel="0" collapsed="false"/>
    <row r="1449" customFormat="false" ht="15.75" hidden="false" customHeight="true" outlineLevel="0" collapsed="false"/>
    <row r="1450" customFormat="false" ht="15.75" hidden="false" customHeight="true" outlineLevel="0" collapsed="false"/>
    <row r="1451" customFormat="false" ht="15.75" hidden="false" customHeight="true" outlineLevel="0" collapsed="false"/>
    <row r="1452" customFormat="false" ht="15.75" hidden="false" customHeight="true" outlineLevel="0" collapsed="false"/>
    <row r="1453" customFormat="false" ht="15.75" hidden="false" customHeight="true" outlineLevel="0" collapsed="false"/>
    <row r="1454" customFormat="false" ht="15.75" hidden="false" customHeight="true" outlineLevel="0" collapsed="false"/>
    <row r="1455" customFormat="false" ht="15.75" hidden="false" customHeight="true" outlineLevel="0" collapsed="false"/>
    <row r="1456" customFormat="false" ht="15.75" hidden="false" customHeight="true" outlineLevel="0" collapsed="false"/>
    <row r="1457" customFormat="false" ht="15.75" hidden="false" customHeight="true" outlineLevel="0" collapsed="false"/>
    <row r="1458" customFormat="false" ht="15.75" hidden="false" customHeight="true" outlineLevel="0" collapsed="false"/>
    <row r="1459" customFormat="false" ht="15.75" hidden="false" customHeight="true" outlineLevel="0" collapsed="false"/>
    <row r="1460" customFormat="false" ht="15.75" hidden="false" customHeight="true" outlineLevel="0" collapsed="false"/>
    <row r="1461" customFormat="false" ht="15.75" hidden="false" customHeight="true" outlineLevel="0" collapsed="false"/>
    <row r="1462" customFormat="false" ht="15.75" hidden="false" customHeight="true" outlineLevel="0" collapsed="false"/>
    <row r="1463" customFormat="false" ht="15.75" hidden="false" customHeight="true" outlineLevel="0" collapsed="false"/>
    <row r="1464" customFormat="false" ht="15.75" hidden="false" customHeight="true" outlineLevel="0" collapsed="false"/>
    <row r="1465" customFormat="false" ht="15.75" hidden="false" customHeight="true" outlineLevel="0" collapsed="false"/>
    <row r="1466" customFormat="false" ht="15.75" hidden="false" customHeight="true" outlineLevel="0" collapsed="false"/>
    <row r="1467" customFormat="false" ht="15.75" hidden="false" customHeight="true" outlineLevel="0" collapsed="false"/>
    <row r="1468" customFormat="false" ht="15.75" hidden="false" customHeight="true" outlineLevel="0" collapsed="false"/>
    <row r="1469" customFormat="false" ht="15.75" hidden="false" customHeight="true" outlineLevel="0" collapsed="false"/>
    <row r="1470" customFormat="false" ht="15.75" hidden="false" customHeight="true" outlineLevel="0" collapsed="false"/>
    <row r="1471" customFormat="false" ht="15.75" hidden="false" customHeight="true" outlineLevel="0" collapsed="false"/>
    <row r="1472" customFormat="false" ht="15.75" hidden="false" customHeight="true" outlineLevel="0" collapsed="false"/>
    <row r="1473" customFormat="false" ht="15.75" hidden="false" customHeight="true" outlineLevel="0" collapsed="false"/>
    <row r="1474" customFormat="false" ht="15.75" hidden="false" customHeight="true" outlineLevel="0" collapsed="false"/>
    <row r="1475" customFormat="false" ht="15.75" hidden="false" customHeight="true" outlineLevel="0" collapsed="false"/>
    <row r="1476" customFormat="false" ht="15.75" hidden="false" customHeight="true" outlineLevel="0" collapsed="false"/>
    <row r="1477" customFormat="false" ht="15.75" hidden="false" customHeight="true" outlineLevel="0" collapsed="false"/>
    <row r="1478" customFormat="false" ht="15.75" hidden="false" customHeight="true" outlineLevel="0" collapsed="false"/>
    <row r="1479" customFormat="false" ht="15.75" hidden="false" customHeight="true" outlineLevel="0" collapsed="false"/>
    <row r="1480" customFormat="false" ht="15.75" hidden="false" customHeight="true" outlineLevel="0" collapsed="false"/>
    <row r="1481" customFormat="false" ht="15.75" hidden="false" customHeight="true" outlineLevel="0" collapsed="false"/>
    <row r="1482" customFormat="false" ht="15.75" hidden="false" customHeight="true" outlineLevel="0" collapsed="false"/>
    <row r="1483" customFormat="false" ht="15.75" hidden="false" customHeight="true" outlineLevel="0" collapsed="false"/>
    <row r="1484" customFormat="false" ht="15.75" hidden="false" customHeight="true" outlineLevel="0" collapsed="false"/>
    <row r="1485" customFormat="false" ht="15.75" hidden="false" customHeight="true" outlineLevel="0" collapsed="false"/>
    <row r="1486" customFormat="false" ht="15.75" hidden="false" customHeight="true" outlineLevel="0" collapsed="false"/>
    <row r="1487" customFormat="false" ht="15.75" hidden="false" customHeight="true" outlineLevel="0" collapsed="false"/>
    <row r="1488" customFormat="false" ht="15.75" hidden="false" customHeight="true" outlineLevel="0" collapsed="false"/>
    <row r="1489" customFormat="false" ht="15.75" hidden="false" customHeight="true" outlineLevel="0" collapsed="false"/>
    <row r="1490" customFormat="false" ht="15.75" hidden="false" customHeight="true" outlineLevel="0" collapsed="false"/>
    <row r="1491" customFormat="false" ht="15.75" hidden="false" customHeight="true" outlineLevel="0" collapsed="false"/>
    <row r="1492" customFormat="false" ht="15.75" hidden="false" customHeight="true" outlineLevel="0" collapsed="false"/>
    <row r="1493" customFormat="false" ht="15.75" hidden="false" customHeight="true" outlineLevel="0" collapsed="false"/>
    <row r="1494" customFormat="false" ht="15.75" hidden="false" customHeight="true" outlineLevel="0" collapsed="false"/>
    <row r="1495" customFormat="false" ht="15.75" hidden="false" customHeight="true" outlineLevel="0" collapsed="false"/>
    <row r="1496" customFormat="false" ht="15.75" hidden="false" customHeight="true" outlineLevel="0" collapsed="false"/>
    <row r="1497" customFormat="false" ht="15.75" hidden="false" customHeight="true" outlineLevel="0" collapsed="false"/>
    <row r="1498" customFormat="false" ht="15.75" hidden="false" customHeight="true" outlineLevel="0" collapsed="false"/>
    <row r="1499" customFormat="false" ht="15.75" hidden="false" customHeight="true" outlineLevel="0" collapsed="false"/>
    <row r="1500" customFormat="false" ht="15.75" hidden="false" customHeight="true" outlineLevel="0" collapsed="false"/>
    <row r="1501" customFormat="false" ht="15.75" hidden="false" customHeight="true" outlineLevel="0" collapsed="false"/>
    <row r="1502" customFormat="false" ht="15.75" hidden="false" customHeight="true" outlineLevel="0" collapsed="false"/>
    <row r="1503" customFormat="false" ht="15.75" hidden="false" customHeight="true" outlineLevel="0" collapsed="false"/>
    <row r="1504" customFormat="false" ht="15.75" hidden="false" customHeight="true" outlineLevel="0" collapsed="false"/>
    <row r="1505" customFormat="false" ht="15.75" hidden="false" customHeight="true" outlineLevel="0" collapsed="false"/>
    <row r="1506" customFormat="false" ht="15.75" hidden="false" customHeight="true" outlineLevel="0" collapsed="false"/>
    <row r="1507" customFormat="false" ht="15.75" hidden="false" customHeight="true" outlineLevel="0" collapsed="false"/>
    <row r="1508" customFormat="false" ht="15.75" hidden="false" customHeight="true" outlineLevel="0" collapsed="false"/>
    <row r="1509" customFormat="false" ht="15.75" hidden="false" customHeight="true" outlineLevel="0" collapsed="false"/>
    <row r="1510" customFormat="false" ht="15.75" hidden="false" customHeight="true" outlineLevel="0" collapsed="false"/>
    <row r="1511" customFormat="false" ht="15.75" hidden="false" customHeight="true" outlineLevel="0" collapsed="false"/>
    <row r="1512" customFormat="false" ht="15.75" hidden="false" customHeight="true" outlineLevel="0" collapsed="false"/>
    <row r="1513" customFormat="false" ht="15.75" hidden="false" customHeight="true" outlineLevel="0" collapsed="false"/>
    <row r="1514" customFormat="false" ht="15.75" hidden="false" customHeight="true" outlineLevel="0" collapsed="false"/>
    <row r="1515" customFormat="false" ht="15.75" hidden="false" customHeight="true" outlineLevel="0" collapsed="false"/>
    <row r="1516" customFormat="false" ht="15.75" hidden="false" customHeight="true" outlineLevel="0" collapsed="false"/>
    <row r="1517" customFormat="false" ht="15.75" hidden="false" customHeight="true" outlineLevel="0" collapsed="false"/>
    <row r="1518" customFormat="false" ht="15.75" hidden="false" customHeight="true" outlineLevel="0" collapsed="false"/>
    <row r="1519" customFormat="false" ht="15.75" hidden="false" customHeight="true" outlineLevel="0" collapsed="false"/>
    <row r="1520" customFormat="false" ht="15.75" hidden="false" customHeight="true" outlineLevel="0" collapsed="false"/>
    <row r="1521" customFormat="false" ht="15.75" hidden="false" customHeight="true" outlineLevel="0" collapsed="false"/>
    <row r="1522" customFormat="false" ht="15.75" hidden="false" customHeight="true" outlineLevel="0" collapsed="false"/>
    <row r="1523" customFormat="false" ht="15.75" hidden="false" customHeight="true" outlineLevel="0" collapsed="false"/>
    <row r="1524" customFormat="false" ht="15.75" hidden="false" customHeight="true" outlineLevel="0" collapsed="false"/>
    <row r="1525" customFormat="false" ht="15.75" hidden="false" customHeight="true" outlineLevel="0" collapsed="false"/>
    <row r="1526" customFormat="false" ht="15.75" hidden="false" customHeight="true" outlineLevel="0" collapsed="false"/>
    <row r="1527" customFormat="false" ht="15.75" hidden="false" customHeight="true" outlineLevel="0" collapsed="false"/>
    <row r="1528" customFormat="false" ht="15.75" hidden="false" customHeight="true" outlineLevel="0" collapsed="false"/>
    <row r="1529" customFormat="false" ht="15.75" hidden="false" customHeight="true" outlineLevel="0" collapsed="false"/>
    <row r="1530" customFormat="false" ht="15.75" hidden="false" customHeight="true" outlineLevel="0" collapsed="false"/>
    <row r="1531" customFormat="false" ht="15.75" hidden="false" customHeight="true" outlineLevel="0" collapsed="false"/>
    <row r="1532" customFormat="false" ht="15.75" hidden="false" customHeight="true" outlineLevel="0" collapsed="false"/>
    <row r="1533" customFormat="false" ht="15.75" hidden="false" customHeight="true" outlineLevel="0" collapsed="false"/>
    <row r="1534" customFormat="false" ht="15.75" hidden="false" customHeight="true" outlineLevel="0" collapsed="false"/>
    <row r="1535" customFormat="false" ht="15.75" hidden="false" customHeight="true" outlineLevel="0" collapsed="false"/>
    <row r="1536" customFormat="false" ht="15.75" hidden="false" customHeight="true" outlineLevel="0" collapsed="false"/>
    <row r="1537" customFormat="false" ht="15.75" hidden="false" customHeight="true" outlineLevel="0" collapsed="false"/>
    <row r="1538" customFormat="false" ht="15.75" hidden="false" customHeight="true" outlineLevel="0" collapsed="false"/>
    <row r="1539" customFormat="false" ht="15.75" hidden="false" customHeight="true" outlineLevel="0" collapsed="false"/>
    <row r="1540" customFormat="false" ht="15.75" hidden="false" customHeight="true" outlineLevel="0" collapsed="false"/>
    <row r="1541" customFormat="false" ht="15.75" hidden="false" customHeight="true" outlineLevel="0" collapsed="false"/>
    <row r="1542" customFormat="false" ht="15.75" hidden="false" customHeight="true" outlineLevel="0" collapsed="false"/>
    <row r="1543" customFormat="false" ht="15.75" hidden="false" customHeight="true" outlineLevel="0" collapsed="false"/>
    <row r="1544" customFormat="false" ht="15.75" hidden="false" customHeight="true" outlineLevel="0" collapsed="false"/>
    <row r="1545" customFormat="false" ht="15.75" hidden="false" customHeight="true" outlineLevel="0" collapsed="false"/>
    <row r="1546" customFormat="false" ht="15.75" hidden="false" customHeight="true" outlineLevel="0" collapsed="false"/>
    <row r="1547" customFormat="false" ht="15.75" hidden="false" customHeight="true" outlineLevel="0" collapsed="false"/>
    <row r="1548" customFormat="false" ht="15.75" hidden="false" customHeight="true" outlineLevel="0" collapsed="false"/>
    <row r="1549" customFormat="false" ht="15.75" hidden="false" customHeight="true" outlineLevel="0" collapsed="false"/>
    <row r="1550" customFormat="false" ht="15.75" hidden="false" customHeight="true" outlineLevel="0" collapsed="false"/>
    <row r="1551" customFormat="false" ht="15.75" hidden="false" customHeight="true" outlineLevel="0" collapsed="false"/>
    <row r="1552" customFormat="false" ht="15.75" hidden="false" customHeight="true" outlineLevel="0" collapsed="false"/>
    <row r="1553" customFormat="false" ht="15.75" hidden="false" customHeight="true" outlineLevel="0" collapsed="false"/>
    <row r="1554" customFormat="false" ht="15.75" hidden="false" customHeight="true" outlineLevel="0" collapsed="false"/>
    <row r="1555" customFormat="false" ht="15.75" hidden="false" customHeight="true" outlineLevel="0" collapsed="false"/>
    <row r="1556" customFormat="false" ht="15.75" hidden="false" customHeight="true" outlineLevel="0" collapsed="false"/>
    <row r="1557" customFormat="false" ht="15.75" hidden="false" customHeight="true" outlineLevel="0" collapsed="false"/>
    <row r="1558" customFormat="false" ht="15.75" hidden="false" customHeight="true" outlineLevel="0" collapsed="false"/>
    <row r="1559" customFormat="false" ht="15.75" hidden="false" customHeight="true" outlineLevel="0" collapsed="false"/>
    <row r="1560" customFormat="false" ht="15.75" hidden="false" customHeight="true" outlineLevel="0" collapsed="false"/>
    <row r="1561" customFormat="false" ht="15.75" hidden="false" customHeight="true" outlineLevel="0" collapsed="false"/>
    <row r="1562" customFormat="false" ht="15.75" hidden="false" customHeight="true" outlineLevel="0" collapsed="false"/>
    <row r="1563" customFormat="false" ht="15.75" hidden="false" customHeight="true" outlineLevel="0" collapsed="false"/>
    <row r="1564" customFormat="false" ht="15.75" hidden="false" customHeight="true" outlineLevel="0" collapsed="false"/>
    <row r="1565" customFormat="false" ht="15.75" hidden="false" customHeight="true" outlineLevel="0" collapsed="false"/>
    <row r="1566" customFormat="false" ht="15.75" hidden="false" customHeight="true" outlineLevel="0" collapsed="false"/>
    <row r="1567" customFormat="false" ht="15.75" hidden="false" customHeight="true" outlineLevel="0" collapsed="false"/>
    <row r="1568" customFormat="false" ht="15.75" hidden="false" customHeight="true" outlineLevel="0" collapsed="false"/>
    <row r="1569" customFormat="false" ht="15.75" hidden="false" customHeight="true" outlineLevel="0" collapsed="false"/>
    <row r="1570" customFormat="false" ht="15.75" hidden="false" customHeight="true" outlineLevel="0" collapsed="false"/>
    <row r="1571" customFormat="false" ht="15.75" hidden="false" customHeight="true" outlineLevel="0" collapsed="false"/>
    <row r="1572" customFormat="false" ht="15.75" hidden="false" customHeight="true" outlineLevel="0" collapsed="false"/>
    <row r="1573" customFormat="false" ht="15.75" hidden="false" customHeight="true" outlineLevel="0" collapsed="false"/>
    <row r="1574" customFormat="false" ht="15.75" hidden="false" customHeight="true" outlineLevel="0" collapsed="false"/>
    <row r="1575" customFormat="false" ht="15.75" hidden="false" customHeight="true" outlineLevel="0" collapsed="false"/>
    <row r="1576" customFormat="false" ht="15.75" hidden="false" customHeight="true" outlineLevel="0" collapsed="false"/>
    <row r="1577" customFormat="false" ht="15.75" hidden="false" customHeight="true" outlineLevel="0" collapsed="false"/>
    <row r="1578" customFormat="false" ht="15.75" hidden="false" customHeight="true" outlineLevel="0" collapsed="false"/>
    <row r="1579" customFormat="false" ht="15.75" hidden="false" customHeight="true" outlineLevel="0" collapsed="false"/>
    <row r="1580" customFormat="false" ht="15.75" hidden="false" customHeight="true" outlineLevel="0" collapsed="false"/>
    <row r="1581" customFormat="false" ht="15.75" hidden="false" customHeight="true" outlineLevel="0" collapsed="false"/>
    <row r="1582" customFormat="false" ht="15.75" hidden="false" customHeight="true" outlineLevel="0" collapsed="false"/>
    <row r="1583" customFormat="false" ht="15.75" hidden="false" customHeight="true" outlineLevel="0" collapsed="false"/>
    <row r="1584" customFormat="false" ht="15.75" hidden="false" customHeight="true" outlineLevel="0" collapsed="false"/>
    <row r="1585" customFormat="false" ht="15.75" hidden="false" customHeight="true" outlineLevel="0" collapsed="false"/>
    <row r="1586" customFormat="false" ht="15.75" hidden="false" customHeight="true" outlineLevel="0" collapsed="false"/>
    <row r="1587" customFormat="false" ht="15.75" hidden="false" customHeight="true" outlineLevel="0" collapsed="false"/>
    <row r="1588" customFormat="false" ht="15.75" hidden="false" customHeight="true" outlineLevel="0" collapsed="false"/>
    <row r="1589" customFormat="false" ht="15.75" hidden="false" customHeight="true" outlineLevel="0" collapsed="false"/>
    <row r="1590" customFormat="false" ht="15.75" hidden="false" customHeight="true" outlineLevel="0" collapsed="false"/>
    <row r="1591" customFormat="false" ht="15.75" hidden="false" customHeight="true" outlineLevel="0" collapsed="false"/>
    <row r="1592" customFormat="false" ht="15.75" hidden="false" customHeight="true" outlineLevel="0" collapsed="false"/>
    <row r="1593" customFormat="false" ht="15.75" hidden="false" customHeight="true" outlineLevel="0" collapsed="false"/>
    <row r="1594" customFormat="false" ht="15.75" hidden="false" customHeight="true" outlineLevel="0" collapsed="false"/>
    <row r="1595" customFormat="false" ht="15.75" hidden="false" customHeight="true" outlineLevel="0" collapsed="false"/>
    <row r="1596" customFormat="false" ht="15.75" hidden="false" customHeight="true" outlineLevel="0" collapsed="false"/>
    <row r="1597" customFormat="false" ht="15.75" hidden="false" customHeight="true" outlineLevel="0" collapsed="false"/>
    <row r="1598" customFormat="false" ht="15.75" hidden="false" customHeight="true" outlineLevel="0" collapsed="false"/>
    <row r="1599" customFormat="false" ht="15.75" hidden="false" customHeight="true" outlineLevel="0" collapsed="false"/>
    <row r="1600" customFormat="false" ht="15.75" hidden="false" customHeight="true" outlineLevel="0" collapsed="false"/>
    <row r="1601" customFormat="false" ht="15.75" hidden="false" customHeight="true" outlineLevel="0" collapsed="false"/>
    <row r="1602" customFormat="false" ht="15.75" hidden="false" customHeight="true" outlineLevel="0" collapsed="false"/>
    <row r="1603" customFormat="false" ht="15.75" hidden="false" customHeight="true" outlineLevel="0" collapsed="false"/>
    <row r="1604" customFormat="false" ht="15.75" hidden="false" customHeight="true" outlineLevel="0" collapsed="false"/>
    <row r="1605" customFormat="false" ht="15.75" hidden="false" customHeight="true" outlineLevel="0" collapsed="false"/>
    <row r="1606" customFormat="false" ht="15.75" hidden="false" customHeight="true" outlineLevel="0" collapsed="false"/>
    <row r="1607" customFormat="false" ht="15.75" hidden="false" customHeight="true" outlineLevel="0" collapsed="false"/>
    <row r="1608" customFormat="false" ht="15.75" hidden="false" customHeight="true" outlineLevel="0" collapsed="false"/>
    <row r="1609" customFormat="false" ht="15.75" hidden="false" customHeight="true" outlineLevel="0" collapsed="false"/>
    <row r="1610" customFormat="false" ht="15.75" hidden="false" customHeight="true" outlineLevel="0" collapsed="false"/>
    <row r="1611" customFormat="false" ht="15.75" hidden="false" customHeight="true" outlineLevel="0" collapsed="false"/>
    <row r="1612" customFormat="false" ht="15.75" hidden="false" customHeight="true" outlineLevel="0" collapsed="false"/>
    <row r="1613" customFormat="false" ht="15.75" hidden="false" customHeight="true" outlineLevel="0" collapsed="false"/>
    <row r="1614" customFormat="false" ht="15.75" hidden="false" customHeight="true" outlineLevel="0" collapsed="false"/>
    <row r="1615" customFormat="false" ht="15.75" hidden="false" customHeight="true" outlineLevel="0" collapsed="false"/>
    <row r="1616" customFormat="false" ht="15.75" hidden="false" customHeight="true" outlineLevel="0" collapsed="false"/>
    <row r="1617" customFormat="false" ht="15.75" hidden="false" customHeight="true" outlineLevel="0" collapsed="false"/>
    <row r="1618" customFormat="false" ht="15.75" hidden="false" customHeight="true" outlineLevel="0" collapsed="false"/>
    <row r="1619" customFormat="false" ht="15.75" hidden="false" customHeight="true" outlineLevel="0" collapsed="false"/>
    <row r="1620" customFormat="false" ht="15.75" hidden="false" customHeight="true" outlineLevel="0" collapsed="false"/>
    <row r="1621" customFormat="false" ht="15.75" hidden="false" customHeight="true" outlineLevel="0" collapsed="false"/>
    <row r="1622" customFormat="false" ht="15.75" hidden="false" customHeight="true" outlineLevel="0" collapsed="false"/>
    <row r="1623" customFormat="false" ht="15.75" hidden="false" customHeight="true" outlineLevel="0" collapsed="false"/>
    <row r="1624" customFormat="false" ht="15.75" hidden="false" customHeight="true" outlineLevel="0" collapsed="false"/>
    <row r="1625" customFormat="false" ht="15.75" hidden="false" customHeight="true" outlineLevel="0" collapsed="false"/>
    <row r="1626" customFormat="false" ht="15.75" hidden="false" customHeight="true" outlineLevel="0" collapsed="false"/>
    <row r="1627" customFormat="false" ht="15.75" hidden="false" customHeight="true" outlineLevel="0" collapsed="false"/>
    <row r="1628" customFormat="false" ht="15.75" hidden="false" customHeight="true" outlineLevel="0" collapsed="false"/>
    <row r="1629" customFormat="false" ht="15.75" hidden="false" customHeight="true" outlineLevel="0" collapsed="false"/>
    <row r="1630" customFormat="false" ht="15.75" hidden="false" customHeight="true" outlineLevel="0" collapsed="false"/>
    <row r="1631" customFormat="false" ht="15.75" hidden="false" customHeight="true" outlineLevel="0" collapsed="false"/>
    <row r="1632" customFormat="false" ht="15.75" hidden="false" customHeight="true" outlineLevel="0" collapsed="false"/>
    <row r="1633" customFormat="false" ht="15.75" hidden="false" customHeight="true" outlineLevel="0" collapsed="false"/>
    <row r="1634" customFormat="false" ht="15.75" hidden="false" customHeight="true" outlineLevel="0" collapsed="false"/>
    <row r="1635" customFormat="false" ht="15.75" hidden="false" customHeight="true" outlineLevel="0" collapsed="false"/>
    <row r="1636" customFormat="false" ht="15.75" hidden="false" customHeight="true" outlineLevel="0" collapsed="false"/>
    <row r="1637" customFormat="false" ht="15.75" hidden="false" customHeight="true" outlineLevel="0" collapsed="false"/>
    <row r="1638" customFormat="false" ht="15.75" hidden="false" customHeight="true" outlineLevel="0" collapsed="false"/>
    <row r="1639" customFormat="false" ht="15.75" hidden="false" customHeight="true" outlineLevel="0" collapsed="false"/>
    <row r="1640" customFormat="false" ht="15.75" hidden="false" customHeight="true" outlineLevel="0" collapsed="false"/>
    <row r="1641" customFormat="false" ht="15.75" hidden="false" customHeight="true" outlineLevel="0" collapsed="false"/>
    <row r="1642" customFormat="false" ht="15.75" hidden="false" customHeight="true" outlineLevel="0" collapsed="false"/>
    <row r="1643" customFormat="false" ht="15.75" hidden="false" customHeight="true" outlineLevel="0" collapsed="false"/>
    <row r="1644" customFormat="false" ht="15.75" hidden="false" customHeight="true" outlineLevel="0" collapsed="false"/>
    <row r="1645" customFormat="false" ht="15.75" hidden="false" customHeight="true" outlineLevel="0" collapsed="false"/>
    <row r="1646" customFormat="false" ht="15.75" hidden="false" customHeight="true" outlineLevel="0" collapsed="false"/>
    <row r="1647" customFormat="false" ht="15.75" hidden="false" customHeight="true" outlineLevel="0" collapsed="false"/>
    <row r="1648" customFormat="false" ht="15.75" hidden="false" customHeight="true" outlineLevel="0" collapsed="false"/>
    <row r="1649" customFormat="false" ht="15.75" hidden="false" customHeight="true" outlineLevel="0" collapsed="false"/>
    <row r="1650" customFormat="false" ht="15.75" hidden="false" customHeight="true" outlineLevel="0" collapsed="false"/>
    <row r="1651" customFormat="false" ht="15.75" hidden="false" customHeight="true" outlineLevel="0" collapsed="false"/>
    <row r="1652" customFormat="false" ht="15.75" hidden="false" customHeight="true" outlineLevel="0" collapsed="false"/>
    <row r="1653" customFormat="false" ht="15.75" hidden="false" customHeight="true" outlineLevel="0" collapsed="false"/>
    <row r="1654" customFormat="false" ht="15.75" hidden="false" customHeight="true" outlineLevel="0" collapsed="false"/>
    <row r="1655" customFormat="false" ht="15.75" hidden="false" customHeight="true" outlineLevel="0" collapsed="false"/>
    <row r="1656" customFormat="false" ht="15.75" hidden="false" customHeight="true" outlineLevel="0" collapsed="false"/>
    <row r="1657" customFormat="false" ht="15.75" hidden="false" customHeight="true" outlineLevel="0" collapsed="false"/>
    <row r="1658" customFormat="false" ht="15.75" hidden="false" customHeight="true" outlineLevel="0" collapsed="false"/>
    <row r="1659" customFormat="false" ht="15.75" hidden="false" customHeight="true" outlineLevel="0" collapsed="false"/>
    <row r="1660" customFormat="false" ht="15.75" hidden="false" customHeight="true" outlineLevel="0" collapsed="false"/>
    <row r="1661" customFormat="false" ht="15.75" hidden="false" customHeight="true" outlineLevel="0" collapsed="false"/>
    <row r="1662" customFormat="false" ht="15.75" hidden="false" customHeight="true" outlineLevel="0" collapsed="false"/>
    <row r="1663" customFormat="false" ht="15.75" hidden="false" customHeight="true" outlineLevel="0" collapsed="false"/>
    <row r="1664" customFormat="false" ht="15.75" hidden="false" customHeight="true" outlineLevel="0" collapsed="false"/>
    <row r="1665" customFormat="false" ht="15.75" hidden="false" customHeight="true" outlineLevel="0" collapsed="false"/>
    <row r="1666" customFormat="false" ht="15.75" hidden="false" customHeight="true" outlineLevel="0" collapsed="false"/>
    <row r="1667" customFormat="false" ht="15.75" hidden="false" customHeight="true" outlineLevel="0" collapsed="false"/>
    <row r="1668" customFormat="false" ht="15.75" hidden="false" customHeight="true" outlineLevel="0" collapsed="false"/>
    <row r="1669" customFormat="false" ht="15.75" hidden="false" customHeight="true" outlineLevel="0" collapsed="false"/>
    <row r="1670" customFormat="false" ht="15.75" hidden="false" customHeight="true" outlineLevel="0" collapsed="false"/>
    <row r="1671" customFormat="false" ht="15.75" hidden="false" customHeight="true" outlineLevel="0" collapsed="false"/>
    <row r="1672" customFormat="false" ht="15.75" hidden="false" customHeight="true" outlineLevel="0" collapsed="false"/>
    <row r="1673" customFormat="false" ht="15.75" hidden="false" customHeight="true" outlineLevel="0" collapsed="false"/>
    <row r="1674" customFormat="false" ht="15.75" hidden="false" customHeight="true" outlineLevel="0" collapsed="false"/>
    <row r="1675" customFormat="false" ht="15.75" hidden="false" customHeight="true" outlineLevel="0" collapsed="false"/>
    <row r="1676" customFormat="false" ht="15.75" hidden="false" customHeight="true" outlineLevel="0" collapsed="false"/>
    <row r="1677" customFormat="false" ht="15.75" hidden="false" customHeight="true" outlineLevel="0" collapsed="false"/>
    <row r="1678" customFormat="false" ht="15.75" hidden="false" customHeight="true" outlineLevel="0" collapsed="false"/>
    <row r="1679" customFormat="false" ht="15.75" hidden="false" customHeight="true" outlineLevel="0" collapsed="false"/>
    <row r="1680" customFormat="false" ht="15.75" hidden="false" customHeight="true" outlineLevel="0" collapsed="false"/>
    <row r="1681" customFormat="false" ht="15.75" hidden="false" customHeight="true" outlineLevel="0" collapsed="false"/>
    <row r="1682" customFormat="false" ht="15.75" hidden="false" customHeight="true" outlineLevel="0" collapsed="false"/>
    <row r="1683" customFormat="false" ht="15.75" hidden="false" customHeight="true" outlineLevel="0" collapsed="false"/>
    <row r="1684" customFormat="false" ht="15.75" hidden="false" customHeight="true" outlineLevel="0" collapsed="false"/>
    <row r="1685" customFormat="false" ht="15.75" hidden="false" customHeight="true" outlineLevel="0" collapsed="false"/>
    <row r="1686" customFormat="false" ht="15.75" hidden="false" customHeight="true" outlineLevel="0" collapsed="false"/>
    <row r="1687" customFormat="false" ht="15.75" hidden="false" customHeight="true" outlineLevel="0" collapsed="false"/>
    <row r="1688" customFormat="false" ht="15.75" hidden="false" customHeight="true" outlineLevel="0" collapsed="false"/>
    <row r="1689" customFormat="false" ht="15.75" hidden="false" customHeight="true" outlineLevel="0" collapsed="false"/>
    <row r="1690" customFormat="false" ht="15.75" hidden="false" customHeight="true" outlineLevel="0" collapsed="false"/>
    <row r="1691" customFormat="false" ht="15.75" hidden="false" customHeight="true" outlineLevel="0" collapsed="false"/>
    <row r="1692" customFormat="false" ht="15.75" hidden="false" customHeight="true" outlineLevel="0" collapsed="false"/>
    <row r="1693" customFormat="false" ht="15.75" hidden="false" customHeight="true" outlineLevel="0" collapsed="false"/>
    <row r="1694" customFormat="false" ht="15.75" hidden="false" customHeight="true" outlineLevel="0" collapsed="false"/>
    <row r="1695" customFormat="false" ht="15.75" hidden="false" customHeight="true" outlineLevel="0" collapsed="false"/>
    <row r="1696" customFormat="false" ht="15.75" hidden="false" customHeight="true" outlineLevel="0" collapsed="false"/>
    <row r="1697" customFormat="false" ht="15.75" hidden="false" customHeight="true" outlineLevel="0" collapsed="false"/>
    <row r="1698" customFormat="false" ht="15.75" hidden="false" customHeight="true" outlineLevel="0" collapsed="false"/>
    <row r="1699" customFormat="false" ht="15.75" hidden="false" customHeight="true" outlineLevel="0" collapsed="false"/>
    <row r="1700" customFormat="false" ht="15.75" hidden="false" customHeight="true" outlineLevel="0" collapsed="false"/>
    <row r="1701" customFormat="false" ht="15.75" hidden="false" customHeight="true" outlineLevel="0" collapsed="false"/>
    <row r="1702" customFormat="false" ht="15.75" hidden="false" customHeight="true" outlineLevel="0" collapsed="false"/>
    <row r="1703" customFormat="false" ht="15.75" hidden="false" customHeight="true" outlineLevel="0" collapsed="false"/>
    <row r="1704" customFormat="false" ht="15.75" hidden="false" customHeight="true" outlineLevel="0" collapsed="false"/>
    <row r="1705" customFormat="false" ht="15.75" hidden="false" customHeight="true" outlineLevel="0" collapsed="false"/>
    <row r="1706" customFormat="false" ht="15.75" hidden="false" customHeight="true" outlineLevel="0" collapsed="false"/>
    <row r="1707" customFormat="false" ht="15.75" hidden="false" customHeight="true" outlineLevel="0" collapsed="false"/>
    <row r="1708" customFormat="false" ht="15.75" hidden="false" customHeight="true" outlineLevel="0" collapsed="false"/>
    <row r="1709" customFormat="false" ht="15.75" hidden="false" customHeight="true" outlineLevel="0" collapsed="false"/>
    <row r="1710" customFormat="false" ht="15.75" hidden="false" customHeight="true" outlineLevel="0" collapsed="false"/>
    <row r="1711" customFormat="false" ht="15.75" hidden="false" customHeight="true" outlineLevel="0" collapsed="false"/>
    <row r="1712" customFormat="false" ht="15.75" hidden="false" customHeight="true" outlineLevel="0" collapsed="false"/>
    <row r="1713" customFormat="false" ht="15.75" hidden="false" customHeight="true" outlineLevel="0" collapsed="false"/>
    <row r="1714" customFormat="false" ht="15.75" hidden="false" customHeight="true" outlineLevel="0" collapsed="false"/>
    <row r="1715" customFormat="false" ht="15.75" hidden="false" customHeight="true" outlineLevel="0" collapsed="false"/>
    <row r="1716" customFormat="false" ht="15.75" hidden="false" customHeight="true" outlineLevel="0" collapsed="false"/>
    <row r="1717" customFormat="false" ht="15.75" hidden="false" customHeight="true" outlineLevel="0" collapsed="false"/>
    <row r="1718" customFormat="false" ht="15.75" hidden="false" customHeight="true" outlineLevel="0" collapsed="false"/>
    <row r="1719" customFormat="false" ht="15.75" hidden="false" customHeight="true" outlineLevel="0" collapsed="false"/>
    <row r="1720" customFormat="false" ht="15.75" hidden="false" customHeight="true" outlineLevel="0" collapsed="false"/>
    <row r="1721" customFormat="false" ht="15.75" hidden="false" customHeight="true" outlineLevel="0" collapsed="false"/>
    <row r="1722" customFormat="false" ht="15.75" hidden="false" customHeight="true" outlineLevel="0" collapsed="false"/>
    <row r="1723" customFormat="false" ht="15.75" hidden="false" customHeight="true" outlineLevel="0" collapsed="false"/>
    <row r="1724" customFormat="false" ht="15.75" hidden="false" customHeight="true" outlineLevel="0" collapsed="false"/>
    <row r="1725" customFormat="false" ht="15.75" hidden="false" customHeight="true" outlineLevel="0" collapsed="false"/>
    <row r="1726" customFormat="false" ht="15.75" hidden="false" customHeight="true" outlineLevel="0" collapsed="false"/>
    <row r="1727" customFormat="false" ht="15.75" hidden="false" customHeight="true" outlineLevel="0" collapsed="false"/>
    <row r="1728" customFormat="false" ht="15.75" hidden="false" customHeight="true" outlineLevel="0" collapsed="false"/>
    <row r="1729" customFormat="false" ht="15.75" hidden="false" customHeight="true" outlineLevel="0" collapsed="false"/>
    <row r="1730" customFormat="false" ht="15.75" hidden="false" customHeight="true" outlineLevel="0" collapsed="false"/>
    <row r="1731" customFormat="false" ht="15.75" hidden="false" customHeight="true" outlineLevel="0" collapsed="false"/>
    <row r="1732" customFormat="false" ht="15.75" hidden="false" customHeight="true" outlineLevel="0" collapsed="false"/>
    <row r="1733" customFormat="false" ht="15.75" hidden="false" customHeight="true" outlineLevel="0" collapsed="false"/>
    <row r="1734" customFormat="false" ht="15.75" hidden="false" customHeight="true" outlineLevel="0" collapsed="false"/>
    <row r="1735" customFormat="false" ht="15.75" hidden="false" customHeight="true" outlineLevel="0" collapsed="false"/>
    <row r="1736" customFormat="false" ht="15.75" hidden="false" customHeight="true" outlineLevel="0" collapsed="false"/>
    <row r="1737" customFormat="false" ht="15.75" hidden="false" customHeight="true" outlineLevel="0" collapsed="false"/>
    <row r="1738" customFormat="false" ht="15.75" hidden="false" customHeight="true" outlineLevel="0" collapsed="false"/>
    <row r="1739" customFormat="false" ht="15.75" hidden="false" customHeight="true" outlineLevel="0" collapsed="false"/>
    <row r="1740" customFormat="false" ht="15.75" hidden="false" customHeight="true" outlineLevel="0" collapsed="false"/>
    <row r="1741" customFormat="false" ht="15.75" hidden="false" customHeight="true" outlineLevel="0" collapsed="false"/>
    <row r="1742" customFormat="false" ht="15.75" hidden="false" customHeight="true" outlineLevel="0" collapsed="false"/>
    <row r="1743" customFormat="false" ht="15.75" hidden="false" customHeight="true" outlineLevel="0" collapsed="false"/>
    <row r="1744" customFormat="false" ht="15.75" hidden="false" customHeight="true" outlineLevel="0" collapsed="false"/>
    <row r="1745" customFormat="false" ht="15.75" hidden="false" customHeight="true" outlineLevel="0" collapsed="false"/>
    <row r="1746" customFormat="false" ht="15.75" hidden="false" customHeight="true" outlineLevel="0" collapsed="false"/>
    <row r="1747" customFormat="false" ht="15.75" hidden="false" customHeight="true" outlineLevel="0" collapsed="false"/>
    <row r="1748" customFormat="false" ht="15.75" hidden="false" customHeight="true" outlineLevel="0" collapsed="false"/>
    <row r="1749" customFormat="false" ht="15.75" hidden="false" customHeight="true" outlineLevel="0" collapsed="false"/>
    <row r="1750" customFormat="false" ht="15.75" hidden="false" customHeight="true" outlineLevel="0" collapsed="false"/>
    <row r="1751" customFormat="false" ht="15.75" hidden="false" customHeight="true" outlineLevel="0" collapsed="false"/>
    <row r="1752" customFormat="false" ht="15.75" hidden="false" customHeight="true" outlineLevel="0" collapsed="false"/>
    <row r="1753" customFormat="false" ht="15.75" hidden="false" customHeight="true" outlineLevel="0" collapsed="false"/>
    <row r="1754" customFormat="false" ht="15.75" hidden="false" customHeight="true" outlineLevel="0" collapsed="false"/>
    <row r="1755" customFormat="false" ht="15.75" hidden="false" customHeight="true" outlineLevel="0" collapsed="false"/>
    <row r="1756" customFormat="false" ht="15.75" hidden="false" customHeight="true" outlineLevel="0" collapsed="false"/>
    <row r="1757" customFormat="false" ht="15.75" hidden="false" customHeight="true" outlineLevel="0" collapsed="false"/>
    <row r="1758" customFormat="false" ht="15.75" hidden="false" customHeight="true" outlineLevel="0" collapsed="false"/>
    <row r="1759" customFormat="false" ht="15.75" hidden="false" customHeight="true" outlineLevel="0" collapsed="false"/>
    <row r="1760" customFormat="false" ht="15.75" hidden="false" customHeight="true" outlineLevel="0" collapsed="false"/>
    <row r="1761" customFormat="false" ht="15.75" hidden="false" customHeight="true" outlineLevel="0" collapsed="false"/>
    <row r="1762" customFormat="false" ht="15.75" hidden="false" customHeight="true" outlineLevel="0" collapsed="false"/>
    <row r="1763" customFormat="false" ht="15.75" hidden="false" customHeight="true" outlineLevel="0" collapsed="false"/>
    <row r="1764" customFormat="false" ht="15.75" hidden="false" customHeight="true" outlineLevel="0" collapsed="false"/>
    <row r="1765" customFormat="false" ht="15.75" hidden="false" customHeight="true" outlineLevel="0" collapsed="false"/>
    <row r="1766" customFormat="false" ht="15.75" hidden="false" customHeight="true" outlineLevel="0" collapsed="false"/>
    <row r="1767" customFormat="false" ht="15.75" hidden="false" customHeight="true" outlineLevel="0" collapsed="false"/>
    <row r="1768" customFormat="false" ht="15.75" hidden="false" customHeight="true" outlineLevel="0" collapsed="false"/>
    <row r="1769" customFormat="false" ht="15.75" hidden="false" customHeight="true" outlineLevel="0" collapsed="false"/>
    <row r="1770" customFormat="false" ht="15.75" hidden="false" customHeight="true" outlineLevel="0" collapsed="false"/>
    <row r="1771" customFormat="false" ht="15.75" hidden="false" customHeight="true" outlineLevel="0" collapsed="false"/>
    <row r="1772" customFormat="false" ht="15.75" hidden="false" customHeight="true" outlineLevel="0" collapsed="false"/>
    <row r="1773" customFormat="false" ht="15.75" hidden="false" customHeight="true" outlineLevel="0" collapsed="false"/>
    <row r="1774" customFormat="false" ht="15.75" hidden="false" customHeight="true" outlineLevel="0" collapsed="false"/>
    <row r="1775" customFormat="false" ht="15.75" hidden="false" customHeight="true" outlineLevel="0" collapsed="false"/>
    <row r="1776" customFormat="false" ht="15.75" hidden="false" customHeight="true" outlineLevel="0" collapsed="false"/>
    <row r="1777" customFormat="false" ht="15.75" hidden="false" customHeight="true" outlineLevel="0" collapsed="false"/>
    <row r="1778" customFormat="false" ht="15.75" hidden="false" customHeight="true" outlineLevel="0" collapsed="false"/>
    <row r="1779" customFormat="false" ht="15.75" hidden="false" customHeight="true" outlineLevel="0" collapsed="false"/>
    <row r="1780" customFormat="false" ht="15.75" hidden="false" customHeight="true" outlineLevel="0" collapsed="false"/>
    <row r="1781" customFormat="false" ht="15.75" hidden="false" customHeight="true" outlineLevel="0" collapsed="false"/>
    <row r="1782" customFormat="false" ht="15.75" hidden="false" customHeight="true" outlineLevel="0" collapsed="false"/>
    <row r="1783" customFormat="false" ht="15.75" hidden="false" customHeight="true" outlineLevel="0" collapsed="false"/>
    <row r="1784" customFormat="false" ht="15.75" hidden="false" customHeight="true" outlineLevel="0" collapsed="false"/>
    <row r="1785" customFormat="false" ht="15.75" hidden="false" customHeight="true" outlineLevel="0" collapsed="false"/>
    <row r="1786" customFormat="false" ht="15.75" hidden="false" customHeight="true" outlineLevel="0" collapsed="false"/>
    <row r="1787" customFormat="false" ht="15.75" hidden="false" customHeight="true" outlineLevel="0" collapsed="false"/>
    <row r="1788" customFormat="false" ht="15.75" hidden="false" customHeight="true" outlineLevel="0" collapsed="false"/>
    <row r="1789" customFormat="false" ht="15.75" hidden="false" customHeight="true" outlineLevel="0" collapsed="false"/>
    <row r="1790" customFormat="false" ht="15.75" hidden="false" customHeight="true" outlineLevel="0" collapsed="false"/>
    <row r="1791" customFormat="false" ht="15.75" hidden="false" customHeight="true" outlineLevel="0" collapsed="false"/>
    <row r="1792" customFormat="false" ht="15.75" hidden="false" customHeight="true" outlineLevel="0" collapsed="false"/>
    <row r="1793" customFormat="false" ht="15.75" hidden="false" customHeight="true" outlineLevel="0" collapsed="false"/>
    <row r="1794" customFormat="false" ht="15.75" hidden="false" customHeight="true" outlineLevel="0" collapsed="false"/>
    <row r="1795" customFormat="false" ht="15.75" hidden="false" customHeight="true" outlineLevel="0" collapsed="false"/>
    <row r="1796" customFormat="false" ht="15.75" hidden="false" customHeight="true" outlineLevel="0" collapsed="false"/>
    <row r="1797" customFormat="false" ht="15.75" hidden="false" customHeight="true" outlineLevel="0" collapsed="false"/>
    <row r="1798" customFormat="false" ht="15.75" hidden="false" customHeight="true" outlineLevel="0" collapsed="false"/>
    <row r="1799" customFormat="false" ht="15.75" hidden="false" customHeight="true" outlineLevel="0" collapsed="false"/>
    <row r="1800" customFormat="false" ht="15.75" hidden="false" customHeight="true" outlineLevel="0" collapsed="false"/>
    <row r="1801" customFormat="false" ht="15.75" hidden="false" customHeight="true" outlineLevel="0" collapsed="false"/>
    <row r="1802" customFormat="false" ht="15.75" hidden="false" customHeight="true" outlineLevel="0" collapsed="false"/>
    <row r="1803" customFormat="false" ht="15.75" hidden="false" customHeight="true" outlineLevel="0" collapsed="false"/>
    <row r="1804" customFormat="false" ht="15.75" hidden="false" customHeight="true" outlineLevel="0" collapsed="false"/>
    <row r="1805" customFormat="false" ht="15.75" hidden="false" customHeight="true" outlineLevel="0" collapsed="false"/>
    <row r="1806" customFormat="false" ht="15.75" hidden="false" customHeight="true" outlineLevel="0" collapsed="false"/>
    <row r="1807" customFormat="false" ht="15.75" hidden="false" customHeight="true" outlineLevel="0" collapsed="false"/>
    <row r="1808" customFormat="false" ht="15.75" hidden="false" customHeight="true" outlineLevel="0" collapsed="false"/>
    <row r="1809" customFormat="false" ht="15.75" hidden="false" customHeight="true" outlineLevel="0" collapsed="false"/>
    <row r="1810" customFormat="false" ht="15.75" hidden="false" customHeight="true" outlineLevel="0" collapsed="false"/>
    <row r="1811" customFormat="false" ht="15.75" hidden="false" customHeight="true" outlineLevel="0" collapsed="false"/>
    <row r="1812" customFormat="false" ht="15.75" hidden="false" customHeight="true" outlineLevel="0" collapsed="false"/>
    <row r="1813" customFormat="false" ht="15.75" hidden="false" customHeight="true" outlineLevel="0" collapsed="false"/>
    <row r="1814" customFormat="false" ht="15.75" hidden="false" customHeight="true" outlineLevel="0" collapsed="false"/>
    <row r="1815" customFormat="false" ht="15.75" hidden="false" customHeight="true" outlineLevel="0" collapsed="false"/>
    <row r="1816" customFormat="false" ht="15.75" hidden="false" customHeight="true" outlineLevel="0" collapsed="false"/>
    <row r="1817" customFormat="false" ht="15.75" hidden="false" customHeight="true" outlineLevel="0" collapsed="false"/>
    <row r="1818" customFormat="false" ht="15.75" hidden="false" customHeight="true" outlineLevel="0" collapsed="false"/>
    <row r="1819" customFormat="false" ht="15.75" hidden="false" customHeight="true" outlineLevel="0" collapsed="false"/>
    <row r="1820" customFormat="false" ht="15.75" hidden="false" customHeight="true" outlineLevel="0" collapsed="false"/>
    <row r="1821" customFormat="false" ht="15.75" hidden="false" customHeight="true" outlineLevel="0" collapsed="false"/>
    <row r="1822" customFormat="false" ht="15.75" hidden="false" customHeight="true" outlineLevel="0" collapsed="false"/>
    <row r="1823" customFormat="false" ht="15.75" hidden="false" customHeight="true" outlineLevel="0" collapsed="false"/>
    <row r="1824" customFormat="false" ht="15.75" hidden="false" customHeight="true" outlineLevel="0" collapsed="false"/>
    <row r="1825" customFormat="false" ht="15.75" hidden="false" customHeight="true" outlineLevel="0" collapsed="false"/>
    <row r="1826" customFormat="false" ht="15.75" hidden="false" customHeight="true" outlineLevel="0" collapsed="false"/>
    <row r="1827" customFormat="false" ht="15.75" hidden="false" customHeight="true" outlineLevel="0" collapsed="false"/>
    <row r="1828" customFormat="false" ht="15.75" hidden="false" customHeight="true" outlineLevel="0" collapsed="false"/>
    <row r="1829" customFormat="false" ht="15.75" hidden="false" customHeight="true" outlineLevel="0" collapsed="false"/>
    <row r="1830" customFormat="false" ht="15.75" hidden="false" customHeight="true" outlineLevel="0" collapsed="false"/>
    <row r="1831" customFormat="false" ht="15.75" hidden="false" customHeight="true" outlineLevel="0" collapsed="false"/>
    <row r="1832" customFormat="false" ht="15.75" hidden="false" customHeight="true" outlineLevel="0" collapsed="false"/>
    <row r="1833" customFormat="false" ht="15.75" hidden="false" customHeight="true" outlineLevel="0" collapsed="false"/>
    <row r="1834" customFormat="false" ht="15.75" hidden="false" customHeight="true" outlineLevel="0" collapsed="false"/>
    <row r="1835" customFormat="false" ht="15.75" hidden="false" customHeight="true" outlineLevel="0" collapsed="false"/>
    <row r="1836" customFormat="false" ht="15.75" hidden="false" customHeight="true" outlineLevel="0" collapsed="false"/>
    <row r="1837" customFormat="false" ht="15.75" hidden="false" customHeight="true" outlineLevel="0" collapsed="false"/>
    <row r="1838" customFormat="false" ht="15.75" hidden="false" customHeight="true" outlineLevel="0" collapsed="false"/>
    <row r="1839" customFormat="false" ht="15.75" hidden="false" customHeight="true" outlineLevel="0" collapsed="false"/>
    <row r="1840" customFormat="false" ht="15.75" hidden="false" customHeight="true" outlineLevel="0" collapsed="false"/>
    <row r="1841" customFormat="false" ht="15.75" hidden="false" customHeight="true" outlineLevel="0" collapsed="false"/>
    <row r="1842" customFormat="false" ht="15.75" hidden="false" customHeight="true" outlineLevel="0" collapsed="false"/>
    <row r="1843" customFormat="false" ht="15.75" hidden="false" customHeight="true" outlineLevel="0" collapsed="false"/>
    <row r="1844" customFormat="false" ht="15.75" hidden="false" customHeight="true" outlineLevel="0" collapsed="false"/>
    <row r="1845" customFormat="false" ht="15.75" hidden="false" customHeight="true" outlineLevel="0" collapsed="false"/>
    <row r="1846" customFormat="false" ht="15.75" hidden="false" customHeight="true" outlineLevel="0" collapsed="false"/>
    <row r="1847" customFormat="false" ht="15.75" hidden="false" customHeight="true" outlineLevel="0" collapsed="false"/>
    <row r="1848" customFormat="false" ht="15.75" hidden="false" customHeight="true" outlineLevel="0" collapsed="false"/>
    <row r="1849" customFormat="false" ht="15.75" hidden="false" customHeight="true" outlineLevel="0" collapsed="false"/>
    <row r="1850" customFormat="false" ht="15.75" hidden="false" customHeight="true" outlineLevel="0" collapsed="false"/>
    <row r="1851" customFormat="false" ht="15.75" hidden="false" customHeight="true" outlineLevel="0" collapsed="false"/>
    <row r="1852" customFormat="false" ht="15.75" hidden="false" customHeight="true" outlineLevel="0" collapsed="false"/>
    <row r="1853" customFormat="false" ht="15.75" hidden="false" customHeight="true" outlineLevel="0" collapsed="false"/>
    <row r="1854" customFormat="false" ht="15.75" hidden="false" customHeight="true" outlineLevel="0" collapsed="false"/>
    <row r="1855" customFormat="false" ht="15.75" hidden="false" customHeight="true" outlineLevel="0" collapsed="false"/>
    <row r="1856" customFormat="false" ht="15.75" hidden="false" customHeight="true" outlineLevel="0" collapsed="false"/>
    <row r="1857" customFormat="false" ht="15.75" hidden="false" customHeight="true" outlineLevel="0" collapsed="false"/>
    <row r="1858" customFormat="false" ht="15.75" hidden="false" customHeight="true" outlineLevel="0" collapsed="false"/>
    <row r="1859" customFormat="false" ht="15.75" hidden="false" customHeight="true" outlineLevel="0" collapsed="false"/>
    <row r="1860" customFormat="false" ht="15.75" hidden="false" customHeight="true" outlineLevel="0" collapsed="false"/>
    <row r="1861" customFormat="false" ht="15.75" hidden="false" customHeight="true" outlineLevel="0" collapsed="false"/>
    <row r="1862" customFormat="false" ht="15.75" hidden="false" customHeight="true" outlineLevel="0" collapsed="false"/>
    <row r="1863" customFormat="false" ht="15.75" hidden="false" customHeight="true" outlineLevel="0" collapsed="false"/>
    <row r="1864" customFormat="false" ht="15.75" hidden="false" customHeight="true" outlineLevel="0" collapsed="false"/>
    <row r="1865" customFormat="false" ht="15.75" hidden="false" customHeight="true" outlineLevel="0" collapsed="false"/>
    <row r="1866" customFormat="false" ht="15.75" hidden="false" customHeight="true" outlineLevel="0" collapsed="false"/>
    <row r="1867" customFormat="false" ht="15.75" hidden="false" customHeight="true" outlineLevel="0" collapsed="false"/>
    <row r="1868" customFormat="false" ht="15.75" hidden="false" customHeight="true" outlineLevel="0" collapsed="false"/>
    <row r="1869" customFormat="false" ht="15.75" hidden="false" customHeight="true" outlineLevel="0" collapsed="false"/>
    <row r="1870" customFormat="false" ht="15.75" hidden="false" customHeight="true" outlineLevel="0" collapsed="false"/>
    <row r="1871" customFormat="false" ht="15.75" hidden="false" customHeight="true" outlineLevel="0" collapsed="false"/>
    <row r="1872" customFormat="false" ht="15.75" hidden="false" customHeight="true" outlineLevel="0" collapsed="false"/>
    <row r="1873" customFormat="false" ht="15.75" hidden="false" customHeight="true" outlineLevel="0" collapsed="false"/>
    <row r="1874" customFormat="false" ht="15.75" hidden="false" customHeight="true" outlineLevel="0" collapsed="false"/>
    <row r="1875" customFormat="false" ht="15.75" hidden="false" customHeight="true" outlineLevel="0" collapsed="false"/>
    <row r="1876" customFormat="false" ht="15.75" hidden="false" customHeight="true" outlineLevel="0" collapsed="false"/>
    <row r="1877" customFormat="false" ht="15.75" hidden="false" customHeight="true" outlineLevel="0" collapsed="false"/>
    <row r="1878" customFormat="false" ht="15.75" hidden="false" customHeight="true" outlineLevel="0" collapsed="false"/>
    <row r="1879" customFormat="false" ht="15.75" hidden="false" customHeight="true" outlineLevel="0" collapsed="false"/>
    <row r="1880" customFormat="false" ht="15.75" hidden="false" customHeight="true" outlineLevel="0" collapsed="false"/>
    <row r="1881" customFormat="false" ht="15.75" hidden="false" customHeight="true" outlineLevel="0" collapsed="false"/>
    <row r="1882" customFormat="false" ht="15.75" hidden="false" customHeight="true" outlineLevel="0" collapsed="false"/>
    <row r="1883" customFormat="false" ht="15.75" hidden="false" customHeight="true" outlineLevel="0" collapsed="false"/>
    <row r="1884" customFormat="false" ht="15.75" hidden="false" customHeight="true" outlineLevel="0" collapsed="false"/>
    <row r="1885" customFormat="false" ht="15.75" hidden="false" customHeight="true" outlineLevel="0" collapsed="false"/>
    <row r="1886" customFormat="false" ht="15.75" hidden="false" customHeight="true" outlineLevel="0" collapsed="false"/>
    <row r="1887" customFormat="false" ht="15.75" hidden="false" customHeight="true" outlineLevel="0" collapsed="false"/>
    <row r="1888" customFormat="false" ht="15.75" hidden="false" customHeight="true" outlineLevel="0" collapsed="false"/>
    <row r="1889" customFormat="false" ht="15.75" hidden="false" customHeight="true" outlineLevel="0" collapsed="false"/>
    <row r="1890" customFormat="false" ht="15.75" hidden="false" customHeight="true" outlineLevel="0" collapsed="false"/>
    <row r="1891" customFormat="false" ht="15.75" hidden="false" customHeight="true" outlineLevel="0" collapsed="false"/>
    <row r="1892" customFormat="false" ht="15.75" hidden="false" customHeight="true" outlineLevel="0" collapsed="false"/>
    <row r="1893" customFormat="false" ht="15.75" hidden="false" customHeight="true" outlineLevel="0" collapsed="false"/>
    <row r="1894" customFormat="false" ht="15.75" hidden="false" customHeight="true" outlineLevel="0" collapsed="false"/>
    <row r="1895" customFormat="false" ht="15.75" hidden="false" customHeight="true" outlineLevel="0" collapsed="false"/>
    <row r="1896" customFormat="false" ht="15.75" hidden="false" customHeight="true" outlineLevel="0" collapsed="false"/>
    <row r="1897" customFormat="false" ht="15.75" hidden="false" customHeight="true" outlineLevel="0" collapsed="false"/>
    <row r="1898" customFormat="false" ht="15.75" hidden="false" customHeight="true" outlineLevel="0" collapsed="false"/>
    <row r="1899" customFormat="false" ht="15.75" hidden="false" customHeight="true" outlineLevel="0" collapsed="false"/>
    <row r="1900" customFormat="false" ht="15.75" hidden="false" customHeight="true" outlineLevel="0" collapsed="false"/>
    <row r="1901" customFormat="false" ht="15.75" hidden="false" customHeight="true" outlineLevel="0" collapsed="false"/>
    <row r="1902" customFormat="false" ht="15.75" hidden="false" customHeight="true" outlineLevel="0" collapsed="false"/>
    <row r="1903" customFormat="false" ht="15.75" hidden="false" customHeight="true" outlineLevel="0" collapsed="false"/>
    <row r="1904" customFormat="false" ht="15.75" hidden="false" customHeight="true" outlineLevel="0" collapsed="false"/>
    <row r="1905" customFormat="false" ht="15.75" hidden="false" customHeight="true" outlineLevel="0" collapsed="false"/>
    <row r="1906" customFormat="false" ht="15.75" hidden="false" customHeight="true" outlineLevel="0" collapsed="false"/>
    <row r="1907" customFormat="false" ht="15.75" hidden="false" customHeight="true" outlineLevel="0" collapsed="false"/>
    <row r="1908" customFormat="false" ht="15.75" hidden="false" customHeight="true" outlineLevel="0" collapsed="false"/>
    <row r="1909" customFormat="false" ht="15.75" hidden="false" customHeight="true" outlineLevel="0" collapsed="false"/>
    <row r="1910" customFormat="false" ht="15.75" hidden="false" customHeight="true" outlineLevel="0" collapsed="false"/>
    <row r="1911" customFormat="false" ht="15.75" hidden="false" customHeight="true" outlineLevel="0" collapsed="false"/>
    <row r="1912" customFormat="false" ht="15.75" hidden="false" customHeight="true" outlineLevel="0" collapsed="false"/>
    <row r="1913" customFormat="false" ht="15.75" hidden="false" customHeight="true" outlineLevel="0" collapsed="false"/>
    <row r="1914" customFormat="false" ht="15.75" hidden="false" customHeight="true" outlineLevel="0" collapsed="false"/>
    <row r="1915" customFormat="false" ht="15.75" hidden="false" customHeight="true" outlineLevel="0" collapsed="false"/>
    <row r="1916" customFormat="false" ht="15.75" hidden="false" customHeight="true" outlineLevel="0" collapsed="false"/>
    <row r="1917" customFormat="false" ht="15.75" hidden="false" customHeight="true" outlineLevel="0" collapsed="false"/>
    <row r="1918" customFormat="false" ht="15.75" hidden="false" customHeight="true" outlineLevel="0" collapsed="false"/>
    <row r="1919" customFormat="false" ht="15.75" hidden="false" customHeight="true" outlineLevel="0" collapsed="false"/>
    <row r="1920" customFormat="false" ht="15.75" hidden="false" customHeight="true" outlineLevel="0" collapsed="false"/>
    <row r="1921" customFormat="false" ht="15.75" hidden="false" customHeight="true" outlineLevel="0" collapsed="false"/>
    <row r="1922" customFormat="false" ht="15.75" hidden="false" customHeight="true" outlineLevel="0" collapsed="false"/>
    <row r="1923" customFormat="false" ht="15.75" hidden="false" customHeight="true" outlineLevel="0" collapsed="false"/>
    <row r="1924" customFormat="false" ht="15.75" hidden="false" customHeight="true" outlineLevel="0" collapsed="false"/>
    <row r="1925" customFormat="false" ht="15.75" hidden="false" customHeight="true" outlineLevel="0" collapsed="false"/>
    <row r="1926" customFormat="false" ht="15.75" hidden="false" customHeight="true" outlineLevel="0" collapsed="false"/>
    <row r="1927" customFormat="false" ht="15.75" hidden="false" customHeight="true" outlineLevel="0" collapsed="false"/>
    <row r="1928" customFormat="false" ht="15.75" hidden="false" customHeight="true" outlineLevel="0" collapsed="false"/>
    <row r="1929" customFormat="false" ht="15.75" hidden="false" customHeight="true" outlineLevel="0" collapsed="false"/>
    <row r="1930" customFormat="false" ht="15.75" hidden="false" customHeight="true" outlineLevel="0" collapsed="false"/>
    <row r="1931" customFormat="false" ht="15.75" hidden="false" customHeight="true" outlineLevel="0" collapsed="false"/>
    <row r="1932" customFormat="false" ht="15.75" hidden="false" customHeight="true" outlineLevel="0" collapsed="false"/>
    <row r="1933" customFormat="false" ht="15.75" hidden="false" customHeight="true" outlineLevel="0" collapsed="false"/>
    <row r="1934" customFormat="false" ht="15.75" hidden="false" customHeight="true" outlineLevel="0" collapsed="false"/>
    <row r="1935" customFormat="false" ht="15.75" hidden="false" customHeight="true" outlineLevel="0" collapsed="false"/>
    <row r="1936" customFormat="false" ht="15.75" hidden="false" customHeight="true" outlineLevel="0" collapsed="false"/>
    <row r="1937" customFormat="false" ht="15.75" hidden="false" customHeight="true" outlineLevel="0" collapsed="false"/>
    <row r="1938" customFormat="false" ht="15.75" hidden="false" customHeight="true" outlineLevel="0" collapsed="false"/>
    <row r="1939" customFormat="false" ht="15.75" hidden="false" customHeight="true" outlineLevel="0" collapsed="false"/>
    <row r="1940" customFormat="false" ht="15.75" hidden="false" customHeight="true" outlineLevel="0" collapsed="false"/>
    <row r="1941" customFormat="false" ht="15.75" hidden="false" customHeight="true" outlineLevel="0" collapsed="false"/>
    <row r="1942" customFormat="false" ht="15.75" hidden="false" customHeight="true" outlineLevel="0" collapsed="false"/>
    <row r="1943" customFormat="false" ht="15.75" hidden="false" customHeight="true" outlineLevel="0" collapsed="false"/>
    <row r="1944" customFormat="false" ht="15.75" hidden="false" customHeight="true" outlineLevel="0" collapsed="false"/>
    <row r="1945" customFormat="false" ht="15.75" hidden="false" customHeight="true" outlineLevel="0" collapsed="false"/>
    <row r="1946" customFormat="false" ht="15.75" hidden="false" customHeight="true" outlineLevel="0" collapsed="false"/>
    <row r="1947" customFormat="false" ht="15.75" hidden="false" customHeight="true" outlineLevel="0" collapsed="false"/>
    <row r="1948" customFormat="false" ht="15.75" hidden="false" customHeight="true" outlineLevel="0" collapsed="false"/>
    <row r="1949" customFormat="false" ht="15.75" hidden="false" customHeight="true" outlineLevel="0" collapsed="false"/>
    <row r="1950" customFormat="false" ht="15.75" hidden="false" customHeight="true" outlineLevel="0" collapsed="false"/>
    <row r="1951" customFormat="false" ht="15.75" hidden="false" customHeight="true" outlineLevel="0" collapsed="false"/>
    <row r="1952" customFormat="false" ht="15.75" hidden="false" customHeight="true" outlineLevel="0" collapsed="false"/>
    <row r="1953" customFormat="false" ht="15.75" hidden="false" customHeight="true" outlineLevel="0" collapsed="false"/>
    <row r="1954" customFormat="false" ht="15.75" hidden="false" customHeight="true" outlineLevel="0" collapsed="false"/>
    <row r="1955" customFormat="false" ht="15.75" hidden="false" customHeight="true" outlineLevel="0" collapsed="false"/>
    <row r="1956" customFormat="false" ht="15.75" hidden="false" customHeight="true" outlineLevel="0" collapsed="false"/>
    <row r="1957" customFormat="false" ht="15.75" hidden="false" customHeight="true" outlineLevel="0" collapsed="false"/>
    <row r="1958" customFormat="false" ht="15.75" hidden="false" customHeight="true" outlineLevel="0" collapsed="false"/>
    <row r="1959" customFormat="false" ht="15.75" hidden="false" customHeight="true" outlineLevel="0" collapsed="false"/>
    <row r="1960" customFormat="false" ht="15.75" hidden="false" customHeight="true" outlineLevel="0" collapsed="false"/>
    <row r="1961" customFormat="false" ht="15.75" hidden="false" customHeight="true" outlineLevel="0" collapsed="false"/>
    <row r="1962" customFormat="false" ht="15.75" hidden="false" customHeight="true" outlineLevel="0" collapsed="false"/>
    <row r="1963" customFormat="false" ht="15.75" hidden="false" customHeight="true" outlineLevel="0" collapsed="false"/>
    <row r="1964" customFormat="false" ht="15.75" hidden="false" customHeight="true" outlineLevel="0" collapsed="false"/>
    <row r="1965" customFormat="false" ht="15.75" hidden="false" customHeight="true" outlineLevel="0" collapsed="false"/>
    <row r="1966" customFormat="false" ht="15.75" hidden="false" customHeight="true" outlineLevel="0" collapsed="false"/>
    <row r="1967" customFormat="false" ht="15.75" hidden="false" customHeight="true" outlineLevel="0" collapsed="false"/>
    <row r="1968" customFormat="false" ht="15.75" hidden="false" customHeight="true" outlineLevel="0" collapsed="false"/>
    <row r="1969" customFormat="false" ht="15.75" hidden="false" customHeight="true" outlineLevel="0" collapsed="false"/>
    <row r="1970" customFormat="false" ht="15.75" hidden="false" customHeight="true" outlineLevel="0" collapsed="false"/>
    <row r="1971" customFormat="false" ht="15.75" hidden="false" customHeight="true" outlineLevel="0" collapsed="false"/>
    <row r="1972" customFormat="false" ht="15.75" hidden="false" customHeight="true" outlineLevel="0" collapsed="false"/>
    <row r="1973" customFormat="false" ht="15.75" hidden="false" customHeight="true" outlineLevel="0" collapsed="false"/>
    <row r="1974" customFormat="false" ht="15.75" hidden="false" customHeight="true" outlineLevel="0" collapsed="false"/>
    <row r="1975" customFormat="false" ht="15.75" hidden="false" customHeight="true" outlineLevel="0" collapsed="false"/>
    <row r="1976" customFormat="false" ht="15.75" hidden="false" customHeight="true" outlineLevel="0" collapsed="false"/>
    <row r="1977" customFormat="false" ht="15.75" hidden="false" customHeight="true" outlineLevel="0" collapsed="false"/>
    <row r="1978" customFormat="false" ht="15.75" hidden="false" customHeight="true" outlineLevel="0" collapsed="false"/>
    <row r="1979" customFormat="false" ht="15.75" hidden="false" customHeight="true" outlineLevel="0" collapsed="false"/>
    <row r="1980" customFormat="false" ht="15.75" hidden="false" customHeight="true" outlineLevel="0" collapsed="false"/>
    <row r="1981" customFormat="false" ht="15.75" hidden="false" customHeight="true" outlineLevel="0" collapsed="false"/>
    <row r="1982" customFormat="false" ht="15.75" hidden="false" customHeight="true" outlineLevel="0" collapsed="false"/>
    <row r="1983" customFormat="false" ht="15.75" hidden="false" customHeight="true" outlineLevel="0" collapsed="false"/>
    <row r="1984" customFormat="false" ht="15.75" hidden="false" customHeight="true" outlineLevel="0" collapsed="false"/>
    <row r="1985" customFormat="false" ht="15.75" hidden="false" customHeight="true" outlineLevel="0" collapsed="false"/>
    <row r="1986" customFormat="false" ht="15.75" hidden="false" customHeight="true" outlineLevel="0" collapsed="false"/>
    <row r="1987" customFormat="false" ht="15.75" hidden="false" customHeight="true" outlineLevel="0" collapsed="false"/>
    <row r="1988" customFormat="false" ht="15.75" hidden="false" customHeight="true" outlineLevel="0" collapsed="false"/>
    <row r="1989" customFormat="false" ht="15.75" hidden="false" customHeight="true" outlineLevel="0" collapsed="false"/>
    <row r="1990" customFormat="false" ht="15.75" hidden="false" customHeight="true" outlineLevel="0" collapsed="false"/>
    <row r="1991" customFormat="false" ht="15.75" hidden="false" customHeight="true" outlineLevel="0" collapsed="false"/>
    <row r="1992" customFormat="false" ht="15.75" hidden="false" customHeight="true" outlineLevel="0" collapsed="false"/>
    <row r="1993" customFormat="false" ht="15.75" hidden="false" customHeight="true" outlineLevel="0" collapsed="false"/>
    <row r="1994" customFormat="false" ht="15.75" hidden="false" customHeight="true" outlineLevel="0" collapsed="false"/>
    <row r="1995" customFormat="false" ht="15.75" hidden="false" customHeight="true" outlineLevel="0" collapsed="false"/>
    <row r="1996" customFormat="false" ht="15.75" hidden="false" customHeight="true" outlineLevel="0" collapsed="false"/>
    <row r="1997" customFormat="false" ht="15.75" hidden="false" customHeight="true" outlineLevel="0" collapsed="false"/>
    <row r="1998" customFormat="false" ht="15.75" hidden="false" customHeight="true" outlineLevel="0" collapsed="false"/>
    <row r="1999" customFormat="false" ht="15.75" hidden="false" customHeight="true" outlineLevel="0" collapsed="false"/>
    <row r="2000" customFormat="false" ht="15.75" hidden="false" customHeight="true" outlineLevel="0" collapsed="false"/>
    <row r="2001" customFormat="false" ht="15.75" hidden="false" customHeight="true" outlineLevel="0" collapsed="false"/>
    <row r="2002" customFormat="false" ht="15.75" hidden="false" customHeight="true" outlineLevel="0" collapsed="false"/>
    <row r="2003" customFormat="false" ht="15.75" hidden="false" customHeight="true" outlineLevel="0" collapsed="false"/>
    <row r="2004" customFormat="false" ht="15.75" hidden="false" customHeight="true" outlineLevel="0" collapsed="false"/>
    <row r="2005" customFormat="false" ht="15.75" hidden="false" customHeight="true" outlineLevel="0" collapsed="false"/>
    <row r="2006" customFormat="false" ht="15.75" hidden="false" customHeight="true" outlineLevel="0" collapsed="false"/>
    <row r="2007" customFormat="false" ht="15.75" hidden="false" customHeight="true" outlineLevel="0" collapsed="false"/>
    <row r="2008" customFormat="false" ht="15.75" hidden="false" customHeight="true" outlineLevel="0" collapsed="false"/>
    <row r="2009" customFormat="false" ht="15.75" hidden="false" customHeight="true" outlineLevel="0" collapsed="false"/>
    <row r="2010" customFormat="false" ht="15.75" hidden="false" customHeight="true" outlineLevel="0" collapsed="false"/>
    <row r="2011" customFormat="false" ht="15.75" hidden="false" customHeight="true" outlineLevel="0" collapsed="false"/>
    <row r="2012" customFormat="false" ht="15.75" hidden="false" customHeight="true" outlineLevel="0" collapsed="false"/>
    <row r="2013" customFormat="false" ht="15.75" hidden="false" customHeight="true" outlineLevel="0" collapsed="false"/>
    <row r="2014" customFormat="false" ht="15.75" hidden="false" customHeight="true" outlineLevel="0" collapsed="false"/>
    <row r="2015" customFormat="false" ht="15.75" hidden="false" customHeight="true" outlineLevel="0" collapsed="false"/>
    <row r="2016" customFormat="false" ht="15.75" hidden="false" customHeight="true" outlineLevel="0" collapsed="false"/>
    <row r="2017" customFormat="false" ht="15.75" hidden="false" customHeight="true" outlineLevel="0" collapsed="false"/>
    <row r="2018" customFormat="false" ht="15.75" hidden="false" customHeight="true" outlineLevel="0" collapsed="false"/>
    <row r="2019" customFormat="false" ht="15.75" hidden="false" customHeight="true" outlineLevel="0" collapsed="false"/>
    <row r="2020" customFormat="false" ht="15.75" hidden="false" customHeight="true" outlineLevel="0" collapsed="false"/>
    <row r="2021" customFormat="false" ht="15.75" hidden="false" customHeight="true" outlineLevel="0" collapsed="false"/>
    <row r="2022" customFormat="false" ht="15.75" hidden="false" customHeight="true" outlineLevel="0" collapsed="false"/>
    <row r="2023" customFormat="false" ht="15.75" hidden="false" customHeight="true" outlineLevel="0" collapsed="false"/>
    <row r="2024" customFormat="false" ht="15.75" hidden="false" customHeight="true" outlineLevel="0" collapsed="false"/>
    <row r="2025" customFormat="false" ht="15.75" hidden="false" customHeight="true" outlineLevel="0" collapsed="false"/>
    <row r="2026" customFormat="false" ht="15.75" hidden="false" customHeight="true" outlineLevel="0" collapsed="false"/>
    <row r="2027" customFormat="false" ht="15.75" hidden="false" customHeight="true" outlineLevel="0" collapsed="false"/>
    <row r="2028" customFormat="false" ht="15.75" hidden="false" customHeight="true" outlineLevel="0" collapsed="false"/>
    <row r="2029" customFormat="false" ht="15.75" hidden="false" customHeight="true" outlineLevel="0" collapsed="false"/>
    <row r="2030" customFormat="false" ht="15.75" hidden="false" customHeight="true" outlineLevel="0" collapsed="false"/>
    <row r="2031" customFormat="false" ht="15.75" hidden="false" customHeight="true" outlineLevel="0" collapsed="false"/>
    <row r="2032" customFormat="false" ht="15.75" hidden="false" customHeight="true" outlineLevel="0" collapsed="false"/>
    <row r="2033" customFormat="false" ht="15.75" hidden="false" customHeight="true" outlineLevel="0" collapsed="false"/>
    <row r="2034" customFormat="false" ht="15.75" hidden="false" customHeight="true" outlineLevel="0" collapsed="false"/>
    <row r="2035" customFormat="false" ht="15.75" hidden="false" customHeight="true" outlineLevel="0" collapsed="false"/>
    <row r="2036" customFormat="false" ht="15.75" hidden="false" customHeight="true" outlineLevel="0" collapsed="false"/>
    <row r="2037" customFormat="false" ht="15.75" hidden="false" customHeight="true" outlineLevel="0" collapsed="false"/>
    <row r="2038" customFormat="false" ht="15.75" hidden="false" customHeight="true" outlineLevel="0" collapsed="false"/>
    <row r="2039" customFormat="false" ht="15.75" hidden="false" customHeight="true" outlineLevel="0" collapsed="false"/>
    <row r="2040" customFormat="false" ht="15.75" hidden="false" customHeight="true" outlineLevel="0" collapsed="false"/>
    <row r="2041" customFormat="false" ht="15.75" hidden="false" customHeight="true" outlineLevel="0" collapsed="false"/>
    <row r="2042" customFormat="false" ht="15.75" hidden="false" customHeight="true" outlineLevel="0" collapsed="false"/>
    <row r="2043" customFormat="false" ht="15.75" hidden="false" customHeight="true" outlineLevel="0" collapsed="false"/>
    <row r="2044" customFormat="false" ht="15.75" hidden="false" customHeight="true" outlineLevel="0" collapsed="false"/>
    <row r="2045" customFormat="false" ht="15.75" hidden="false" customHeight="true" outlineLevel="0" collapsed="false"/>
    <row r="2046" customFormat="false" ht="15.75" hidden="false" customHeight="true" outlineLevel="0" collapsed="false"/>
    <row r="2047" customFormat="false" ht="15.75" hidden="false" customHeight="true" outlineLevel="0" collapsed="false"/>
    <row r="2048" customFormat="false" ht="15.75" hidden="false" customHeight="true" outlineLevel="0" collapsed="false"/>
    <row r="2049" customFormat="false" ht="15.75" hidden="false" customHeight="true" outlineLevel="0" collapsed="false"/>
    <row r="2050" customFormat="false" ht="15.75" hidden="false" customHeight="true" outlineLevel="0" collapsed="false"/>
    <row r="2051" customFormat="false" ht="15.75" hidden="false" customHeight="true" outlineLevel="0" collapsed="false"/>
    <row r="2052" customFormat="false" ht="15.75" hidden="false" customHeight="true" outlineLevel="0" collapsed="false"/>
    <row r="2053" customFormat="false" ht="15.75" hidden="false" customHeight="true" outlineLevel="0" collapsed="false"/>
    <row r="2054" customFormat="false" ht="15.75" hidden="false" customHeight="true" outlineLevel="0" collapsed="false"/>
    <row r="2055" customFormat="false" ht="15.75" hidden="false" customHeight="true" outlineLevel="0" collapsed="false"/>
    <row r="2056" customFormat="false" ht="15.75" hidden="false" customHeight="true" outlineLevel="0" collapsed="false"/>
    <row r="2057" customFormat="false" ht="15.75" hidden="false" customHeight="true" outlineLevel="0" collapsed="false"/>
    <row r="2058" customFormat="false" ht="15.75" hidden="false" customHeight="true" outlineLevel="0" collapsed="false"/>
    <row r="2059" customFormat="false" ht="15.75" hidden="false" customHeight="true" outlineLevel="0" collapsed="false"/>
    <row r="2060" customFormat="false" ht="15.75" hidden="false" customHeight="true" outlineLevel="0" collapsed="false"/>
    <row r="2061" customFormat="false" ht="15.75" hidden="false" customHeight="true" outlineLevel="0" collapsed="false"/>
  </sheetData>
  <autoFilter ref="B1:N144"/>
  <conditionalFormatting sqref="D52:D55 E1:E2061 L59:L60">
    <cfRule type="cellIs" priority="2" operator="greaterThan" aboveAverage="0" equalAverage="0" bottom="0" percent="0" rank="0" text="" dxfId="60">
      <formula>5</formula>
    </cfRule>
  </conditionalFormatting>
  <conditionalFormatting sqref="E1:E2061 L59:L60">
    <cfRule type="cellIs" priority="3" operator="lessThan" aboveAverage="0" equalAverage="0" bottom="0" percent="0" rank="0" text="" dxfId="61">
      <formula>2</formula>
    </cfRule>
  </conditionalFormatting>
  <conditionalFormatting sqref="A1:Y2061">
    <cfRule type="cellIs" priority="4" operator="equal" aboveAverage="0" equalAverage="0" bottom="0" percent="0" rank="0" text="" dxfId="50">
      <formula>"PvCre"</formula>
    </cfRule>
    <cfRule type="cellIs" priority="5" operator="equal" aboveAverage="0" equalAverage="0" bottom="0" percent="0" rank="0" text="" dxfId="51">
      <formula>"Calb2-Cre"</formula>
    </cfRule>
    <cfRule type="cellIs" priority="6" operator="equal" aboveAverage="0" equalAverage="0" bottom="0" percent="0" rank="0" text="" dxfId="52">
      <formula>"FlCx36-KO (hom)"</formula>
    </cfRule>
    <cfRule type="cellIs" priority="7" operator="equal" aboveAverage="0" equalAverage="0" bottom="0" percent="0" rank="0" text="" dxfId="53">
      <formula>"FLCx36KO_Cx36FLX_PvCre"</formula>
    </cfRule>
    <cfRule type="cellIs" priority="8" operator="equal" aboveAverage="0" equalAverage="0" bottom="0" percent="0" rank="0" text="" dxfId="54">
      <formula>"PVCre?"</formula>
    </cfRule>
    <cfRule type="cellIs" priority="9" operator="equal" aboveAverage="0" equalAverage="0" bottom="0" percent="0" rank="0" text="" dxfId="55">
      <formula>"FlCx36-KO x PVCre"</formula>
    </cfRule>
    <cfRule type="cellIs" priority="10" operator="equal" aboveAverage="0" equalAverage="0" bottom="0" percent="0" rank="0" text="" dxfId="56">
      <formula>"GCaMP3Thy1"</formula>
    </cfRule>
    <cfRule type="cellIs" priority="11" operator="equal" aboveAverage="0" equalAverage="0" bottom="0" percent="0" rank="0" text="" dxfId="57">
      <formula>"TdTom - Flox"</formula>
    </cfRule>
    <cfRule type="cellIs" priority="12" operator="equal" aboveAverage="0" equalAverage="0" bottom="0" percent="0" rank="0" text="" dxfId="58">
      <formula>"Bl6"</formula>
    </cfRule>
    <cfRule type="expression" priority="13" aboveAverage="0" equalAverage="0" bottom="0" percent="0" rank="0" text="" dxfId="59">
      <formula>LEN(TRIM(A1))=0</formula>
    </cfRule>
  </conditionalFormatting>
  <conditionalFormatting sqref="C50">
    <cfRule type="expression" priority="14" aboveAverage="0" equalAverage="0" bottom="0" percent="0" rank="0" text="" dxfId="59">
      <formula>LEN(TRIM(C50))=0</formula>
    </cfRule>
  </conditionalFormatting>
  <conditionalFormatting sqref="D1:D2061">
    <cfRule type="cellIs" priority="15" operator="equal" aboveAverage="0" equalAverage="0" bottom="0" percent="0" rank="0" text="" dxfId="49">
      <formula>"TP"</formula>
    </cfRule>
  </conditionalFormatting>
  <conditionalFormatting sqref="H1:H2061">
    <cfRule type="containsText" priority="16" operator="containsText" aboveAverage="0" equalAverage="0" bottom="0" percent="0" rank="0" text="használni" dxfId="62">
      <formula>NOT(ISERROR(SEARCH("használni",H1)))</formula>
    </cfRule>
  </conditionalFormatting>
  <conditionalFormatting sqref="I1:I2061">
    <cfRule type="containsText" priority="17" operator="containsText" aboveAverage="0" equalAverage="0" bottom="0" percent="0" rank="0" text="Gergő" dxfId="63">
      <formula>NOT(ISERROR(SEARCH("Gergő",I1)))</formula>
    </cfRule>
  </conditionalFormatting>
  <conditionalFormatting sqref="H34">
    <cfRule type="cellIs" priority="18" operator="equal" aboveAverage="0" equalAverage="0" bottom="0" percent="0" rank="0" text="" dxfId="72">
      <formula>"terminálni"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Z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" min="2" style="1" width="16.29"/>
    <col collapsed="false" customWidth="true" hidden="false" outlineLevel="0" max="3" min="3" style="1" width="24.71"/>
    <col collapsed="false" customWidth="true" hidden="false" outlineLevel="0" max="5" min="5" style="1" width="22.57"/>
    <col collapsed="false" customWidth="true" hidden="false" outlineLevel="0" max="7" min="7" style="1" width="15.85"/>
    <col collapsed="false" customWidth="true" hidden="false" outlineLevel="0" max="10" min="10" style="1" width="40.43"/>
    <col collapsed="false" customWidth="true" hidden="false" outlineLevel="0" max="11" min="11" style="1" width="26"/>
  </cols>
  <sheetData>
    <row r="1" customFormat="false" ht="15" hidden="false" customHeight="true" outlineLevel="0" collapsed="false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customFormat="false" ht="15" hidden="false" customHeight="true" outlineLevel="0" collapsed="false">
      <c r="A2" s="85"/>
      <c r="B2" s="86" t="s">
        <v>663</v>
      </c>
      <c r="C2" s="87" t="s">
        <v>664</v>
      </c>
      <c r="D2" s="87"/>
      <c r="E2" s="87" t="s">
        <v>665</v>
      </c>
      <c r="F2" s="87"/>
      <c r="G2" s="86" t="s">
        <v>666</v>
      </c>
      <c r="H2" s="87" t="s">
        <v>667</v>
      </c>
      <c r="I2" s="87"/>
      <c r="J2" s="86" t="s">
        <v>668</v>
      </c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customFormat="false" ht="15" hidden="false" customHeight="true" outlineLevel="0" collapsed="false">
      <c r="A3" s="85"/>
      <c r="B3" s="85" t="s">
        <v>669</v>
      </c>
      <c r="C3" s="86" t="s">
        <v>670</v>
      </c>
      <c r="D3" s="86" t="s">
        <v>671</v>
      </c>
      <c r="E3" s="86" t="s">
        <v>672</v>
      </c>
      <c r="F3" s="86" t="s">
        <v>671</v>
      </c>
      <c r="G3" s="85" t="s">
        <v>669</v>
      </c>
      <c r="H3" s="86" t="s">
        <v>673</v>
      </c>
      <c r="I3" s="86" t="s">
        <v>674</v>
      </c>
      <c r="J3" s="85" t="s">
        <v>669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customFormat="false" ht="15" hidden="false" customHeight="true" outlineLevel="0" collapsed="false">
      <c r="A4" s="85"/>
      <c r="B4" s="85" t="s">
        <v>675</v>
      </c>
      <c r="C4" s="85" t="s">
        <v>570</v>
      </c>
      <c r="D4" s="88" t="n">
        <v>45408</v>
      </c>
      <c r="E4" s="85" t="s">
        <v>570</v>
      </c>
      <c r="F4" s="88" t="n">
        <v>45353</v>
      </c>
      <c r="G4" s="88" t="n">
        <v>45408</v>
      </c>
      <c r="H4" s="88" t="n">
        <v>45453</v>
      </c>
      <c r="I4" s="85" t="n">
        <v>10</v>
      </c>
      <c r="J4" s="85" t="s">
        <v>669</v>
      </c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customFormat="false" ht="15" hidden="false" customHeight="true" outlineLevel="0" collapsed="false">
      <c r="A5" s="85"/>
      <c r="B5" s="85" t="s">
        <v>676</v>
      </c>
      <c r="C5" s="85" t="s">
        <v>570</v>
      </c>
      <c r="D5" s="88" t="n">
        <v>45460</v>
      </c>
      <c r="E5" s="85" t="s">
        <v>677</v>
      </c>
      <c r="F5" s="89" t="n">
        <v>45244</v>
      </c>
      <c r="G5" s="88" t="n">
        <v>45460</v>
      </c>
      <c r="H5" s="88" t="n">
        <v>45429</v>
      </c>
      <c r="I5" s="85" t="n">
        <v>11</v>
      </c>
      <c r="J5" s="85" t="s">
        <v>669</v>
      </c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customFormat="false" ht="15" hidden="false" customHeight="true" outlineLevel="0" collapsed="false">
      <c r="A6" s="85"/>
      <c r="B6" s="85" t="s">
        <v>678</v>
      </c>
      <c r="C6" s="85" t="s">
        <v>570</v>
      </c>
      <c r="D6" s="88" t="n">
        <v>45353</v>
      </c>
      <c r="E6" s="85" t="s">
        <v>570</v>
      </c>
      <c r="F6" s="88" t="n">
        <v>45320</v>
      </c>
      <c r="G6" s="88" t="n">
        <v>45408</v>
      </c>
      <c r="H6" s="88" t="n">
        <v>45430</v>
      </c>
      <c r="I6" s="85" t="n">
        <v>6</v>
      </c>
      <c r="J6" s="85" t="s">
        <v>669</v>
      </c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customFormat="false" ht="15" hidden="false" customHeight="true" outlineLevel="0" collapsed="false">
      <c r="A7" s="85"/>
      <c r="B7" s="85" t="s">
        <v>679</v>
      </c>
      <c r="C7" s="85" t="s">
        <v>677</v>
      </c>
      <c r="D7" s="88" t="n">
        <v>45066</v>
      </c>
      <c r="E7" s="85" t="s">
        <v>680</v>
      </c>
      <c r="F7" s="88" t="n">
        <v>45069</v>
      </c>
      <c r="G7" s="88" t="n">
        <v>45141</v>
      </c>
      <c r="H7" s="88" t="n">
        <v>45357</v>
      </c>
      <c r="I7" s="85" t="n">
        <v>5</v>
      </c>
      <c r="J7" s="85" t="s">
        <v>681</v>
      </c>
      <c r="K7" s="85" t="s">
        <v>682</v>
      </c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customFormat="false" ht="15" hidden="false" customHeight="true" outlineLevel="0" collapsed="false">
      <c r="A8" s="85"/>
      <c r="B8" s="85" t="s">
        <v>683</v>
      </c>
      <c r="C8" s="85" t="s">
        <v>556</v>
      </c>
      <c r="D8" s="90" t="n">
        <v>44870</v>
      </c>
      <c r="E8" s="85" t="s">
        <v>556</v>
      </c>
      <c r="F8" s="90" t="n">
        <v>44817</v>
      </c>
      <c r="G8" s="88" t="n">
        <v>44980</v>
      </c>
      <c r="H8" s="88" t="n">
        <v>45191</v>
      </c>
      <c r="I8" s="85" t="n">
        <v>5</v>
      </c>
      <c r="J8" s="21" t="s">
        <v>684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customFormat="false" ht="15" hidden="false" customHeight="true" outlineLevel="0" collapsed="false">
      <c r="A9" s="85"/>
      <c r="B9" s="85" t="s">
        <v>685</v>
      </c>
      <c r="C9" s="85" t="s">
        <v>578</v>
      </c>
      <c r="D9" s="88" t="n">
        <v>45296</v>
      </c>
      <c r="E9" s="85" t="s">
        <v>578</v>
      </c>
      <c r="F9" s="88" t="n">
        <v>45296</v>
      </c>
      <c r="G9" s="91" t="n">
        <v>45010</v>
      </c>
      <c r="H9" s="88" t="n">
        <v>45412</v>
      </c>
      <c r="I9" s="85" t="n">
        <v>8</v>
      </c>
      <c r="J9" s="85" t="s">
        <v>669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customFormat="false" ht="15" hidden="false" customHeight="true" outlineLevel="0" collapsed="false">
      <c r="A10" s="85"/>
      <c r="B10" s="85" t="s">
        <v>686</v>
      </c>
      <c r="C10" s="85" t="s">
        <v>677</v>
      </c>
      <c r="D10" s="88" t="n">
        <v>45094</v>
      </c>
      <c r="E10" s="85" t="s">
        <v>677</v>
      </c>
      <c r="F10" s="88" t="n">
        <v>45127</v>
      </c>
      <c r="G10" s="91" t="n">
        <v>45460</v>
      </c>
      <c r="H10" s="88"/>
      <c r="I10" s="85"/>
      <c r="J10" s="85" t="s">
        <v>687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customFormat="false" ht="15" hidden="false" customHeight="true" outlineLevel="0" collapsed="false">
      <c r="A11" s="85"/>
      <c r="B11" s="85" t="s">
        <v>686</v>
      </c>
      <c r="C11" s="85" t="s">
        <v>688</v>
      </c>
      <c r="D11" s="88" t="n">
        <v>45223</v>
      </c>
      <c r="E11" s="92" t="s">
        <v>680</v>
      </c>
      <c r="F11" s="88" t="n">
        <v>45280</v>
      </c>
      <c r="G11" s="91" t="n">
        <v>45460</v>
      </c>
      <c r="H11" s="88"/>
      <c r="I11" s="85"/>
      <c r="J11" s="85" t="s">
        <v>687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customFormat="false" ht="15" hidden="false" customHeight="true" outlineLevel="0" collapsed="false">
      <c r="A12" s="85"/>
      <c r="B12" s="85" t="s">
        <v>689</v>
      </c>
      <c r="C12" s="85" t="s">
        <v>690</v>
      </c>
      <c r="D12" s="88" t="n">
        <v>45083</v>
      </c>
      <c r="E12" s="85" t="s">
        <v>690</v>
      </c>
      <c r="F12" s="88" t="n">
        <v>45083</v>
      </c>
      <c r="G12" s="88" t="n">
        <v>45141</v>
      </c>
      <c r="H12" s="88" t="n">
        <v>45432</v>
      </c>
      <c r="I12" s="85" t="n">
        <v>2</v>
      </c>
      <c r="J12" s="85" t="s">
        <v>691</v>
      </c>
      <c r="K12" s="85" t="s">
        <v>692</v>
      </c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customFormat="false" ht="15" hidden="false" customHeight="true" outlineLevel="0" collapsed="false">
      <c r="A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customFormat="false" ht="15" hidden="false" customHeight="true" outlineLevel="0" collapsed="false">
      <c r="A14" s="85"/>
      <c r="B14" s="85"/>
      <c r="C14" s="85"/>
      <c r="D14" s="88"/>
      <c r="E14" s="85"/>
      <c r="F14" s="89"/>
      <c r="G14" s="88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customFormat="false" ht="15" hidden="false" customHeight="true" outlineLevel="0" collapsed="false">
      <c r="A15" s="85"/>
      <c r="B15" s="21" t="s">
        <v>693</v>
      </c>
      <c r="C15" s="85" t="s">
        <v>680</v>
      </c>
      <c r="D15" s="89" t="n">
        <v>45551</v>
      </c>
      <c r="E15" s="85" t="s">
        <v>680</v>
      </c>
      <c r="F15" s="89" t="n">
        <v>45489</v>
      </c>
      <c r="G15" s="88" t="n">
        <v>45693</v>
      </c>
      <c r="H15" s="88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customFormat="false" ht="15" hidden="false" customHeight="true" outlineLevel="0" collapsed="false">
      <c r="A16" s="85"/>
      <c r="B16" s="21" t="s">
        <v>694</v>
      </c>
      <c r="C16" s="85" t="s">
        <v>680</v>
      </c>
      <c r="D16" s="89" t="n">
        <v>45489</v>
      </c>
      <c r="E16" s="85" t="s">
        <v>680</v>
      </c>
      <c r="F16" s="89" t="n">
        <v>45551</v>
      </c>
      <c r="G16" s="88" t="n">
        <v>45693</v>
      </c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customFormat="false" ht="15" hidden="false" customHeight="true" outlineLevel="0" collapsed="false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customFormat="false" ht="15" hidden="false" customHeight="true" outlineLevel="0" collapsed="false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customFormat="false" ht="15" hidden="false" customHeight="true" outlineLevel="0" collapsed="false">
      <c r="A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customFormat="false" ht="15" hidden="false" customHeight="true" outlineLevel="0" collapsed="false">
      <c r="A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customFormat="false" ht="15" hidden="false" customHeight="true" outlineLevel="0" collapsed="false">
      <c r="A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customFormat="false" ht="15" hidden="false" customHeight="true" outlineLevel="0" collapsed="false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customFormat="false" ht="15" hidden="false" customHeight="true" outlineLevel="0" collapsed="false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customFormat="false" ht="15" hidden="false" customHeight="true" outlineLevel="0" collapsed="false">
      <c r="A24" s="85"/>
      <c r="B24" s="85" t="s">
        <v>695</v>
      </c>
      <c r="C24" s="85" t="s">
        <v>696</v>
      </c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customFormat="false" ht="15" hidden="false" customHeight="true" outlineLevel="0" collapsed="false">
      <c r="A25" s="85"/>
      <c r="B25" s="85"/>
      <c r="C25" s="85" t="s">
        <v>688</v>
      </c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customFormat="false" ht="15" hidden="false" customHeight="true" outlineLevel="0" collapsed="false">
      <c r="A26" s="85"/>
      <c r="B26" s="85"/>
      <c r="C26" s="85" t="s">
        <v>570</v>
      </c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customFormat="false" ht="15" hidden="false" customHeight="true" outlineLevel="0" collapsed="false">
      <c r="A27" s="85"/>
      <c r="B27" s="85"/>
      <c r="C27" s="85" t="s">
        <v>677</v>
      </c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customFormat="false" ht="15" hidden="false" customHeight="true" outlineLevel="0" collapsed="false">
      <c r="A28" s="85"/>
      <c r="B28" s="85"/>
      <c r="C28" s="85" t="s">
        <v>697</v>
      </c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customFormat="false" ht="15" hidden="false" customHeight="true" outlineLevel="0" collapsed="false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customFormat="false" ht="15" hidden="false" customHeight="true" outlineLevel="0" collapsed="false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customFormat="false" ht="15" hidden="false" customHeight="true" outlineLevel="0" collapsed="false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customFormat="false" ht="15" hidden="false" customHeight="true" outlineLevel="0" collapsed="false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customFormat="false" ht="15" hidden="false" customHeight="true" outlineLevel="0" collapsed="false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customFormat="false" ht="15" hidden="false" customHeight="true" outlineLevel="0" collapsed="false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customFormat="false" ht="15" hidden="false" customHeight="true" outlineLevel="0" collapsed="false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customFormat="false" ht="15" hidden="false" customHeight="true" outlineLevel="0" collapsed="false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customFormat="false" ht="15" hidden="false" customHeight="true" outlineLevel="0" collapsed="false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customFormat="false" ht="15" hidden="false" customHeight="true" outlineLevel="0" collapsed="false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customFormat="false" ht="15" hidden="false" customHeight="true" outlineLevel="0" collapsed="false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customFormat="false" ht="15" hidden="false" customHeight="true" outlineLevel="0" collapsed="false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customFormat="false" ht="15" hidden="false" customHeight="true" outlineLevel="0" collapsed="false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customFormat="false" ht="15" hidden="false" customHeight="true" outlineLevel="0" collapsed="false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customFormat="false" ht="15" hidden="false" customHeight="true" outlineLevel="0" collapsed="false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customFormat="false" ht="15" hidden="false" customHeight="true" outlineLevel="0" collapsed="false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customFormat="false" ht="15" hidden="false" customHeight="true" outlineLevel="0" collapsed="false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customFormat="false" ht="15" hidden="false" customHeight="true" outlineLevel="0" collapsed="false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customFormat="false" ht="15" hidden="false" customHeight="true" outlineLevel="0" collapsed="false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customFormat="false" ht="15" hidden="false" customHeight="true" outlineLevel="0" collapsed="false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customFormat="false" ht="15" hidden="false" customHeight="true" outlineLevel="0" collapsed="false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customFormat="false" ht="15" hidden="false" customHeight="true" outlineLevel="0" collapsed="false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customFormat="false" ht="15" hidden="false" customHeight="true" outlineLevel="0" collapsed="false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customFormat="false" ht="15" hidden="false" customHeight="true" outlineLevel="0" collapsed="false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customFormat="false" ht="15" hidden="false" customHeight="true" outlineLevel="0" collapsed="false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customFormat="false" ht="15" hidden="false" customHeight="true" outlineLevel="0" collapsed="false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customFormat="false" ht="15" hidden="false" customHeight="true" outlineLevel="0" collapsed="false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customFormat="false" ht="15" hidden="false" customHeight="true" outlineLevel="0" collapsed="false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customFormat="false" ht="15" hidden="false" customHeight="true" outlineLevel="0" collapsed="false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customFormat="false" ht="15" hidden="false" customHeight="true" outlineLevel="0" collapsed="false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customFormat="false" ht="15" hidden="false" customHeight="true" outlineLevel="0" collapsed="false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customFormat="false" ht="15" hidden="false" customHeight="tru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customFormat="false" ht="15" hidden="false" customHeight="tru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customFormat="false" ht="15" hidden="false" customHeight="tru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customFormat="false" ht="15" hidden="false" customHeight="tru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customFormat="false" ht="15" hidden="false" customHeight="tru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customFormat="false" ht="15" hidden="false" customHeight="tru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customFormat="false" ht="15" hidden="false" customHeight="tru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customFormat="false" ht="15" hidden="false" customHeight="tru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customFormat="false" ht="15" hidden="false" customHeight="tru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customFormat="false" ht="15" hidden="false" customHeight="tru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customFormat="false" ht="15" hidden="false" customHeight="tru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customFormat="false" ht="15" hidden="false" customHeight="tru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customFormat="false" ht="15" hidden="false" customHeight="tru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customFormat="false" ht="15" hidden="false" customHeight="tru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customFormat="false" ht="15" hidden="false" customHeight="tru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customFormat="false" ht="15" hidden="false" customHeight="tru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customFormat="false" ht="15" hidden="false" customHeight="tru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customFormat="false" ht="15" hidden="false" customHeight="tru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customFormat="false" ht="15" hidden="false" customHeight="tru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customFormat="false" ht="15" hidden="false" customHeight="tru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customFormat="false" ht="15" hidden="false" customHeight="tru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customFormat="false" ht="15" hidden="false" customHeight="tru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customFormat="false" ht="15" hidden="false" customHeight="tru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customFormat="false" ht="15" hidden="false" customHeight="tru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customFormat="false" ht="15" hidden="false" customHeight="tru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customFormat="false" ht="15" hidden="false" customHeight="tru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customFormat="false" ht="15" hidden="false" customHeight="tru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customFormat="false" ht="15" hidden="false" customHeight="tru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customFormat="false" ht="15" hidden="false" customHeight="tru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customFormat="false" ht="15" hidden="false" customHeight="tru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customFormat="false" ht="15" hidden="false" customHeight="tru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customFormat="false" ht="15" hidden="false" customHeight="tru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customFormat="false" ht="15" hidden="false" customHeight="tru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customFormat="false" ht="15" hidden="false" customHeight="tru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customFormat="false" ht="15" hidden="false" customHeight="tru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customFormat="false" ht="15" hidden="false" customHeight="tru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customFormat="false" ht="15" hidden="false" customHeight="tru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customFormat="false" ht="15" hidden="false" customHeight="tru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customFormat="false" ht="15" hidden="false" customHeight="tru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customFormat="false" ht="15" hidden="false" customHeight="tru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customFormat="false" ht="15" hidden="false" customHeight="tru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customFormat="false" ht="15" hidden="false" customHeight="tru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customFormat="false" ht="15" hidden="false" customHeight="tru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customFormat="false" ht="15" hidden="false" customHeight="tru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customFormat="false" ht="15" hidden="false" customHeight="tru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customFormat="false" ht="15" hidden="false" customHeight="tru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customFormat="false" ht="15" hidden="false" customHeight="tru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customFormat="false" ht="15" hidden="false" customHeight="tru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customFormat="false" ht="15" hidden="false" customHeight="tru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customFormat="false" ht="15" hidden="false" customHeight="tru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customFormat="false" ht="15" hidden="false" customHeight="tru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customFormat="false" ht="15" hidden="false" customHeight="tru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customFormat="false" ht="15" hidden="false" customHeight="tru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customFormat="false" ht="15" hidden="false" customHeight="tru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customFormat="false" ht="15" hidden="false" customHeight="tru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customFormat="false" ht="15" hidden="false" customHeight="tru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customFormat="false" ht="15" hidden="false" customHeight="tru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customFormat="false" ht="15" hidden="false" customHeight="tru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customFormat="false" ht="15" hidden="false" customHeight="tru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customFormat="false" ht="15" hidden="false" customHeight="tru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customFormat="false" ht="15" hidden="false" customHeight="tru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customFormat="false" ht="15" hidden="false" customHeight="tru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customFormat="false" ht="15" hidden="false" customHeight="tru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customFormat="false" ht="15" hidden="false" customHeight="tru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customFormat="false" ht="15" hidden="false" customHeight="tru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customFormat="false" ht="15" hidden="false" customHeight="tru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customFormat="false" ht="15" hidden="false" customHeight="tru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customFormat="false" ht="15" hidden="false" customHeight="tru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customFormat="false" ht="15" hidden="false" customHeight="tru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customFormat="false" ht="15" hidden="false" customHeight="tru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customFormat="false" ht="15" hidden="false" customHeight="tru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customFormat="false" ht="15" hidden="false" customHeight="tru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customFormat="false" ht="15" hidden="false" customHeight="tru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customFormat="false" ht="15" hidden="false" customHeight="tru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customFormat="false" ht="15" hidden="false" customHeight="tru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customFormat="false" ht="15" hidden="false" customHeight="tru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customFormat="false" ht="15" hidden="false" customHeight="tru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customFormat="false" ht="15" hidden="false" customHeight="true" outlineLevel="0" collapsed="false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customFormat="false" ht="15" hidden="false" customHeight="true" outlineLevel="0" collapsed="false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customFormat="false" ht="15" hidden="false" customHeight="true" outlineLevel="0" collapsed="false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customFormat="false" ht="15" hidden="false" customHeight="true" outlineLevel="0" collapsed="false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customFormat="false" ht="15" hidden="false" customHeight="true" outlineLevel="0" collapsed="false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customFormat="false" ht="15" hidden="false" customHeight="true" outlineLevel="0" collapsed="false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customFormat="false" ht="15" hidden="false" customHeight="true" outlineLevel="0" collapsed="false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customFormat="false" ht="15" hidden="false" customHeight="true" outlineLevel="0" collapsed="false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customFormat="false" ht="15" hidden="false" customHeight="true" outlineLevel="0" collapsed="false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customFormat="false" ht="15" hidden="false" customHeight="true" outlineLevel="0" collapsed="false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customFormat="false" ht="15" hidden="false" customHeight="true" outlineLevel="0" collapsed="false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customFormat="false" ht="15" hidden="false" customHeight="true" outlineLevel="0" collapsed="false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customFormat="false" ht="15" hidden="false" customHeight="true" outlineLevel="0" collapsed="false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customFormat="false" ht="15" hidden="false" customHeight="true" outlineLevel="0" collapsed="false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customFormat="false" ht="15" hidden="false" customHeight="true" outlineLevel="0" collapsed="false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customFormat="false" ht="15" hidden="false" customHeight="true" outlineLevel="0" collapsed="false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customFormat="false" ht="15" hidden="false" customHeight="true" outlineLevel="0" collapsed="false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customFormat="false" ht="15" hidden="false" customHeight="true" outlineLevel="0" collapsed="false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customFormat="false" ht="15" hidden="false" customHeight="true" outlineLevel="0" collapsed="false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customFormat="false" ht="15" hidden="false" customHeight="true" outlineLevel="0" collapsed="false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customFormat="false" ht="15" hidden="false" customHeight="true" outlineLevel="0" collapsed="false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customFormat="false" ht="15" hidden="false" customHeight="true" outlineLevel="0" collapsed="false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customFormat="false" ht="15" hidden="false" customHeight="true" outlineLevel="0" collapsed="false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customFormat="false" ht="15" hidden="false" customHeight="true" outlineLevel="0" collapsed="false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customFormat="false" ht="15" hidden="false" customHeight="true" outlineLevel="0" collapsed="false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customFormat="false" ht="15" hidden="false" customHeight="true" outlineLevel="0" collapsed="false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customFormat="false" ht="15" hidden="false" customHeight="true" outlineLevel="0" collapsed="false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customFormat="false" ht="15" hidden="false" customHeight="true" outlineLevel="0" collapsed="false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customFormat="false" ht="15" hidden="false" customHeight="true" outlineLevel="0" collapsed="false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customFormat="false" ht="15" hidden="false" customHeight="true" outlineLevel="0" collapsed="false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customFormat="false" ht="15" hidden="false" customHeight="true" outlineLevel="0" collapsed="false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customFormat="false" ht="15" hidden="false" customHeight="true" outlineLevel="0" collapsed="false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customFormat="false" ht="15" hidden="false" customHeight="true" outlineLevel="0" collapsed="false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customFormat="false" ht="15" hidden="false" customHeight="true" outlineLevel="0" collapsed="false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customFormat="false" ht="15" hidden="false" customHeight="true" outlineLevel="0" collapsed="false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customFormat="false" ht="15" hidden="false" customHeight="true" outlineLevel="0" collapsed="false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customFormat="false" ht="15" hidden="false" customHeight="true" outlineLevel="0" collapsed="false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customFormat="false" ht="15" hidden="false" customHeight="true" outlineLevel="0" collapsed="false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customFormat="false" ht="15" hidden="false" customHeight="true" outlineLevel="0" collapsed="false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customFormat="false" ht="15" hidden="false" customHeight="true" outlineLevel="0" collapsed="false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customFormat="false" ht="15" hidden="false" customHeight="true" outlineLevel="0" collapsed="false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customFormat="false" ht="15" hidden="false" customHeight="true" outlineLevel="0" collapsed="false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customFormat="false" ht="15" hidden="false" customHeight="true" outlineLevel="0" collapsed="false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customFormat="false" ht="15" hidden="false" customHeight="true" outlineLevel="0" collapsed="false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customFormat="false" ht="15" hidden="false" customHeight="true" outlineLevel="0" collapsed="false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customFormat="false" ht="15" hidden="false" customHeight="true" outlineLevel="0" collapsed="false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customFormat="false" ht="15" hidden="false" customHeight="true" outlineLevel="0" collapsed="false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customFormat="false" ht="15" hidden="false" customHeight="true" outlineLevel="0" collapsed="false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customFormat="false" ht="15" hidden="false" customHeight="true" outlineLevel="0" collapsed="false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customFormat="false" ht="15" hidden="false" customHeight="true" outlineLevel="0" collapsed="false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customFormat="false" ht="15" hidden="false" customHeight="true" outlineLevel="0" collapsed="false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customFormat="false" ht="15" hidden="false" customHeight="true" outlineLevel="0" collapsed="false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customFormat="false" ht="15" hidden="false" customHeight="true" outlineLevel="0" collapsed="false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customFormat="false" ht="15" hidden="false" customHeight="true" outlineLevel="0" collapsed="false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customFormat="false" ht="15" hidden="false" customHeight="true" outlineLevel="0" collapsed="false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customFormat="false" ht="15" hidden="false" customHeight="true" outlineLevel="0" collapsed="false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customFormat="false" ht="15" hidden="false" customHeight="true" outlineLevel="0" collapsed="false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customFormat="false" ht="15" hidden="false" customHeight="true" outlineLevel="0" collapsed="false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customFormat="false" ht="15" hidden="false" customHeight="true" outlineLevel="0" collapsed="false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customFormat="false" ht="15" hidden="false" customHeight="true" outlineLevel="0" collapsed="false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customFormat="false" ht="15" hidden="false" customHeight="true" outlineLevel="0" collapsed="false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customFormat="false" ht="15" hidden="false" customHeight="true" outlineLevel="0" collapsed="false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customFormat="false" ht="15" hidden="false" customHeight="true" outlineLevel="0" collapsed="false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customFormat="false" ht="15" hidden="false" customHeight="true" outlineLevel="0" collapsed="false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customFormat="false" ht="15" hidden="false" customHeight="true" outlineLevel="0" collapsed="false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customFormat="false" ht="15" hidden="false" customHeight="true" outlineLevel="0" collapsed="false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customFormat="false" ht="15" hidden="false" customHeight="true" outlineLevel="0" collapsed="false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customFormat="false" ht="15" hidden="false" customHeight="true" outlineLevel="0" collapsed="false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customFormat="false" ht="15" hidden="false" customHeight="true" outlineLevel="0" collapsed="false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customFormat="false" ht="15" hidden="false" customHeight="true" outlineLevel="0" collapsed="false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customFormat="false" ht="15" hidden="false" customHeight="true" outlineLevel="0" collapsed="false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customFormat="false" ht="15" hidden="false" customHeight="true" outlineLevel="0" collapsed="false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customFormat="false" ht="15" hidden="false" customHeight="true" outlineLevel="0" collapsed="false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customFormat="false" ht="15" hidden="false" customHeight="true" outlineLevel="0" collapsed="false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customFormat="false" ht="15" hidden="false" customHeight="true" outlineLevel="0" collapsed="false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customFormat="false" ht="15" hidden="false" customHeight="true" outlineLevel="0" collapsed="false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customFormat="false" ht="15" hidden="false" customHeight="true" outlineLevel="0" collapsed="false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customFormat="false" ht="15" hidden="false" customHeight="true" outlineLevel="0" collapsed="false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customFormat="false" ht="15" hidden="false" customHeight="true" outlineLevel="0" collapsed="false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customFormat="false" ht="15" hidden="false" customHeight="true" outlineLevel="0" collapsed="false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customFormat="false" ht="15" hidden="false" customHeight="true" outlineLevel="0" collapsed="false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customFormat="false" ht="15" hidden="false" customHeight="true" outlineLevel="0" collapsed="false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customFormat="false" ht="15" hidden="false" customHeight="true" outlineLevel="0" collapsed="false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customFormat="false" ht="15" hidden="false" customHeight="true" outlineLevel="0" collapsed="false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customFormat="false" ht="15" hidden="false" customHeight="true" outlineLevel="0" collapsed="false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customFormat="false" ht="15" hidden="false" customHeight="true" outlineLevel="0" collapsed="false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customFormat="false" ht="15" hidden="false" customHeight="true" outlineLevel="0" collapsed="false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customFormat="false" ht="15" hidden="false" customHeight="true" outlineLevel="0" collapsed="false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customFormat="false" ht="15" hidden="false" customHeight="true" outlineLevel="0" collapsed="false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customFormat="false" ht="15" hidden="false" customHeight="true" outlineLevel="0" collapsed="false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customFormat="false" ht="15" hidden="false" customHeight="true" outlineLevel="0" collapsed="false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customFormat="false" ht="15" hidden="false" customHeight="true" outlineLevel="0" collapsed="false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customFormat="false" ht="15" hidden="false" customHeight="true" outlineLevel="0" collapsed="false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customFormat="false" ht="15" hidden="false" customHeight="true" outlineLevel="0" collapsed="false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customFormat="false" ht="15" hidden="false" customHeight="true" outlineLevel="0" collapsed="false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customFormat="false" ht="15" hidden="false" customHeight="true" outlineLevel="0" collapsed="false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customFormat="false" ht="15" hidden="false" customHeight="true" outlineLevel="0" collapsed="false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customFormat="false" ht="15" hidden="false" customHeight="true" outlineLevel="0" collapsed="false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customFormat="false" ht="15" hidden="false" customHeight="true" outlineLevel="0" collapsed="false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customFormat="false" ht="15" hidden="false" customHeight="true" outlineLevel="0" collapsed="false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customFormat="false" ht="15" hidden="false" customHeight="true" outlineLevel="0" collapsed="false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customFormat="false" ht="15" hidden="false" customHeight="true" outlineLevel="0" collapsed="false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customFormat="false" ht="15" hidden="false" customHeight="true" outlineLevel="0" collapsed="false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customFormat="false" ht="15" hidden="false" customHeight="true" outlineLevel="0" collapsed="false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customFormat="false" ht="15" hidden="false" customHeight="true" outlineLevel="0" collapsed="false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customFormat="false" ht="15" hidden="false" customHeight="true" outlineLevel="0" collapsed="false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customFormat="false" ht="15" hidden="false" customHeight="true" outlineLevel="0" collapsed="false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customFormat="false" ht="15" hidden="false" customHeight="true" outlineLevel="0" collapsed="false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customFormat="false" ht="15" hidden="false" customHeight="true" outlineLevel="0" collapsed="false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customFormat="false" ht="15" hidden="false" customHeight="true" outlineLevel="0" collapsed="false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customFormat="false" ht="15" hidden="false" customHeight="true" outlineLevel="0" collapsed="false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customFormat="false" ht="15" hidden="false" customHeight="true" outlineLevel="0" collapsed="false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customFormat="false" ht="15" hidden="false" customHeight="true" outlineLevel="0" collapsed="false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customFormat="false" ht="15" hidden="false" customHeight="true" outlineLevel="0" collapsed="false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customFormat="false" ht="15" hidden="false" customHeight="true" outlineLevel="0" collapsed="false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customFormat="false" ht="15" hidden="false" customHeight="true" outlineLevel="0" collapsed="false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customFormat="false" ht="15" hidden="false" customHeight="true" outlineLevel="0" collapsed="false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customFormat="false" ht="15" hidden="false" customHeight="true" outlineLevel="0" collapsed="false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customFormat="false" ht="15" hidden="false" customHeight="true" outlineLevel="0" collapsed="false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customFormat="false" ht="15" hidden="false" customHeight="true" outlineLevel="0" collapsed="false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customFormat="false" ht="15" hidden="false" customHeight="true" outlineLevel="0" collapsed="false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customFormat="false" ht="15" hidden="false" customHeight="true" outlineLevel="0" collapsed="false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customFormat="false" ht="15" hidden="false" customHeight="true" outlineLevel="0" collapsed="false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customFormat="false" ht="15" hidden="false" customHeight="true" outlineLevel="0" collapsed="false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customFormat="false" ht="15" hidden="false" customHeight="true" outlineLevel="0" collapsed="false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customFormat="false" ht="15" hidden="false" customHeight="true" outlineLevel="0" collapsed="false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customFormat="false" ht="15" hidden="false" customHeight="true" outlineLevel="0" collapsed="false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customFormat="false" ht="15" hidden="false" customHeight="true" outlineLevel="0" collapsed="false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customFormat="false" ht="15" hidden="false" customHeight="true" outlineLevel="0" collapsed="false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customFormat="false" ht="15" hidden="false" customHeight="true" outlineLevel="0" collapsed="false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customFormat="false" ht="15" hidden="false" customHeight="true" outlineLevel="0" collapsed="false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customFormat="false" ht="15" hidden="false" customHeight="true" outlineLevel="0" collapsed="false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customFormat="false" ht="15" hidden="false" customHeight="true" outlineLevel="0" collapsed="false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customFormat="false" ht="15" hidden="false" customHeight="true" outlineLevel="0" collapsed="false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customFormat="false" ht="15" hidden="false" customHeight="true" outlineLevel="0" collapsed="false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customFormat="false" ht="15" hidden="false" customHeight="true" outlineLevel="0" collapsed="false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customFormat="false" ht="15" hidden="false" customHeight="true" outlineLevel="0" collapsed="false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customFormat="false" ht="15" hidden="false" customHeight="true" outlineLevel="0" collapsed="false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customFormat="false" ht="15" hidden="false" customHeight="true" outlineLevel="0" collapsed="false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customFormat="false" ht="15" hidden="false" customHeight="true" outlineLevel="0" collapsed="false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customFormat="false" ht="15" hidden="false" customHeight="true" outlineLevel="0" collapsed="false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customFormat="false" ht="15" hidden="false" customHeight="true" outlineLevel="0" collapsed="false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customFormat="false" ht="15" hidden="false" customHeight="true" outlineLevel="0" collapsed="false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customFormat="false" ht="15" hidden="false" customHeight="true" outlineLevel="0" collapsed="false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customFormat="false" ht="15" hidden="false" customHeight="true" outlineLevel="0" collapsed="false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customFormat="false" ht="15" hidden="false" customHeight="true" outlineLevel="0" collapsed="false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customFormat="false" ht="15" hidden="false" customHeight="true" outlineLevel="0" collapsed="false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customFormat="false" ht="15" hidden="false" customHeight="true" outlineLevel="0" collapsed="false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customFormat="false" ht="15" hidden="false" customHeight="true" outlineLevel="0" collapsed="false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customFormat="false" ht="15" hidden="false" customHeight="true" outlineLevel="0" collapsed="false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customFormat="false" ht="15" hidden="false" customHeight="true" outlineLevel="0" collapsed="false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customFormat="false" ht="15" hidden="false" customHeight="true" outlineLevel="0" collapsed="false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customFormat="false" ht="15" hidden="false" customHeight="true" outlineLevel="0" collapsed="false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customFormat="false" ht="15" hidden="false" customHeight="true" outlineLevel="0" collapsed="false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customFormat="false" ht="15" hidden="false" customHeight="true" outlineLevel="0" collapsed="false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customFormat="false" ht="15" hidden="false" customHeight="true" outlineLevel="0" collapsed="false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customFormat="false" ht="15" hidden="false" customHeight="true" outlineLevel="0" collapsed="false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customFormat="false" ht="15" hidden="false" customHeight="true" outlineLevel="0" collapsed="false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customFormat="false" ht="15" hidden="false" customHeight="true" outlineLevel="0" collapsed="false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customFormat="false" ht="15" hidden="false" customHeight="true" outlineLevel="0" collapsed="false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customFormat="false" ht="15" hidden="false" customHeight="true" outlineLevel="0" collapsed="false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customFormat="false" ht="15" hidden="false" customHeight="true" outlineLevel="0" collapsed="false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customFormat="false" ht="15" hidden="false" customHeight="true" outlineLevel="0" collapsed="false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customFormat="false" ht="15" hidden="false" customHeight="true" outlineLevel="0" collapsed="false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customFormat="false" ht="15" hidden="false" customHeight="true" outlineLevel="0" collapsed="false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customFormat="false" ht="15" hidden="false" customHeight="true" outlineLevel="0" collapsed="false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customFormat="false" ht="15" hidden="false" customHeight="true" outlineLevel="0" collapsed="false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customFormat="false" ht="15" hidden="false" customHeight="true" outlineLevel="0" collapsed="false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customFormat="false" ht="15" hidden="false" customHeight="true" outlineLevel="0" collapsed="false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customFormat="false" ht="15" hidden="false" customHeight="true" outlineLevel="0" collapsed="false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customFormat="false" ht="15" hidden="false" customHeight="true" outlineLevel="0" collapsed="false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customFormat="false" ht="15" hidden="false" customHeight="true" outlineLevel="0" collapsed="false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customFormat="false" ht="15" hidden="false" customHeight="true" outlineLevel="0" collapsed="false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customFormat="false" ht="15" hidden="false" customHeight="true" outlineLevel="0" collapsed="false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customFormat="false" ht="15" hidden="false" customHeight="true" outlineLevel="0" collapsed="false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customFormat="false" ht="15" hidden="false" customHeight="true" outlineLevel="0" collapsed="false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customFormat="false" ht="15" hidden="false" customHeight="true" outlineLevel="0" collapsed="false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customFormat="false" ht="15" hidden="false" customHeight="true" outlineLevel="0" collapsed="false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customFormat="false" ht="15" hidden="false" customHeight="true" outlineLevel="0" collapsed="false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customFormat="false" ht="15" hidden="false" customHeight="true" outlineLevel="0" collapsed="false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customFormat="false" ht="15" hidden="false" customHeight="true" outlineLevel="0" collapsed="false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customFormat="false" ht="15" hidden="false" customHeight="true" outlineLevel="0" collapsed="false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customFormat="false" ht="15" hidden="false" customHeight="true" outlineLevel="0" collapsed="false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customFormat="false" ht="15" hidden="false" customHeight="true" outlineLevel="0" collapsed="false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customFormat="false" ht="15" hidden="false" customHeight="true" outlineLevel="0" collapsed="false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customFormat="false" ht="15" hidden="false" customHeight="true" outlineLevel="0" collapsed="false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customFormat="false" ht="15" hidden="false" customHeight="true" outlineLevel="0" collapsed="false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customFormat="false" ht="15" hidden="false" customHeight="true" outlineLevel="0" collapsed="false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customFormat="false" ht="15" hidden="false" customHeight="true" outlineLevel="0" collapsed="false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customFormat="false" ht="15" hidden="false" customHeight="true" outlineLevel="0" collapsed="false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customFormat="false" ht="15" hidden="false" customHeight="true" outlineLevel="0" collapsed="false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customFormat="false" ht="15" hidden="false" customHeight="true" outlineLevel="0" collapsed="false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customFormat="false" ht="15" hidden="false" customHeight="true" outlineLevel="0" collapsed="false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customFormat="false" ht="15" hidden="false" customHeight="true" outlineLevel="0" collapsed="false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customFormat="false" ht="15" hidden="false" customHeight="true" outlineLevel="0" collapsed="false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customFormat="false" ht="15" hidden="false" customHeight="true" outlineLevel="0" collapsed="false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customFormat="false" ht="15" hidden="false" customHeight="true" outlineLevel="0" collapsed="false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customFormat="false" ht="15" hidden="false" customHeight="true" outlineLevel="0" collapsed="false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customFormat="false" ht="15" hidden="false" customHeight="true" outlineLevel="0" collapsed="false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customFormat="false" ht="15" hidden="false" customHeight="true" outlineLevel="0" collapsed="false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customFormat="false" ht="15" hidden="false" customHeight="true" outlineLevel="0" collapsed="false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customFormat="false" ht="15" hidden="false" customHeight="true" outlineLevel="0" collapsed="false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customFormat="false" ht="15" hidden="false" customHeight="true" outlineLevel="0" collapsed="false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customFormat="false" ht="15" hidden="false" customHeight="true" outlineLevel="0" collapsed="false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customFormat="false" ht="15" hidden="false" customHeight="true" outlineLevel="0" collapsed="false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customFormat="false" ht="15" hidden="false" customHeight="true" outlineLevel="0" collapsed="false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customFormat="false" ht="15" hidden="false" customHeight="true" outlineLevel="0" collapsed="false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customFormat="false" ht="15" hidden="false" customHeight="true" outlineLevel="0" collapsed="false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customFormat="false" ht="15" hidden="false" customHeight="true" outlineLevel="0" collapsed="false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customFormat="false" ht="15" hidden="false" customHeight="true" outlineLevel="0" collapsed="false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customFormat="false" ht="15" hidden="false" customHeight="true" outlineLevel="0" collapsed="false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customFormat="false" ht="15" hidden="false" customHeight="true" outlineLevel="0" collapsed="false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customFormat="false" ht="15" hidden="false" customHeight="true" outlineLevel="0" collapsed="false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customFormat="false" ht="15" hidden="false" customHeight="true" outlineLevel="0" collapsed="false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customFormat="false" ht="15" hidden="false" customHeight="true" outlineLevel="0" collapsed="false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customFormat="false" ht="15" hidden="false" customHeight="true" outlineLevel="0" collapsed="false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customFormat="false" ht="15" hidden="false" customHeight="true" outlineLevel="0" collapsed="false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customFormat="false" ht="15" hidden="false" customHeight="true" outlineLevel="0" collapsed="false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customFormat="false" ht="15" hidden="false" customHeight="true" outlineLevel="0" collapsed="false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customFormat="false" ht="15" hidden="false" customHeight="true" outlineLevel="0" collapsed="false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customFormat="false" ht="15" hidden="false" customHeight="true" outlineLevel="0" collapsed="false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customFormat="false" ht="15" hidden="false" customHeight="true" outlineLevel="0" collapsed="false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customFormat="false" ht="15" hidden="false" customHeight="true" outlineLevel="0" collapsed="false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customFormat="false" ht="15" hidden="false" customHeight="true" outlineLevel="0" collapsed="false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customFormat="false" ht="15" hidden="false" customHeight="true" outlineLevel="0" collapsed="false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customFormat="false" ht="15" hidden="false" customHeight="true" outlineLevel="0" collapsed="false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customFormat="false" ht="15" hidden="false" customHeight="true" outlineLevel="0" collapsed="false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customFormat="false" ht="15" hidden="false" customHeight="true" outlineLevel="0" collapsed="false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customFormat="false" ht="15" hidden="false" customHeight="true" outlineLevel="0" collapsed="false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customFormat="false" ht="15" hidden="false" customHeight="true" outlineLevel="0" collapsed="false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customFormat="false" ht="15" hidden="false" customHeight="true" outlineLevel="0" collapsed="false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customFormat="false" ht="15" hidden="false" customHeight="true" outlineLevel="0" collapsed="false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customFormat="false" ht="15" hidden="false" customHeight="true" outlineLevel="0" collapsed="false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customFormat="false" ht="15" hidden="false" customHeight="true" outlineLevel="0" collapsed="false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customFormat="false" ht="15" hidden="false" customHeight="true" outlineLevel="0" collapsed="false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customFormat="false" ht="15" hidden="false" customHeight="true" outlineLevel="0" collapsed="false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customFormat="false" ht="15" hidden="false" customHeight="true" outlineLevel="0" collapsed="false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customFormat="false" ht="15" hidden="false" customHeight="true" outlineLevel="0" collapsed="false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customFormat="false" ht="15" hidden="false" customHeight="true" outlineLevel="0" collapsed="false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customFormat="false" ht="15" hidden="false" customHeight="true" outlineLevel="0" collapsed="false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customFormat="false" ht="15" hidden="false" customHeight="true" outlineLevel="0" collapsed="false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customFormat="false" ht="15" hidden="false" customHeight="true" outlineLevel="0" collapsed="false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customFormat="false" ht="15" hidden="false" customHeight="true" outlineLevel="0" collapsed="false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customFormat="false" ht="15" hidden="false" customHeight="true" outlineLevel="0" collapsed="false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customFormat="false" ht="15" hidden="false" customHeight="true" outlineLevel="0" collapsed="false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customFormat="false" ht="15" hidden="false" customHeight="true" outlineLevel="0" collapsed="false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customFormat="false" ht="15" hidden="false" customHeight="true" outlineLevel="0" collapsed="false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customFormat="false" ht="15" hidden="false" customHeight="true" outlineLevel="0" collapsed="false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customFormat="false" ht="15" hidden="false" customHeight="true" outlineLevel="0" collapsed="false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customFormat="false" ht="15" hidden="false" customHeight="true" outlineLevel="0" collapsed="false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customFormat="false" ht="15" hidden="false" customHeight="true" outlineLevel="0" collapsed="false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customFormat="false" ht="15" hidden="false" customHeight="true" outlineLevel="0" collapsed="false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customFormat="false" ht="15" hidden="false" customHeight="true" outlineLevel="0" collapsed="false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customFormat="false" ht="15" hidden="false" customHeight="true" outlineLevel="0" collapsed="false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customFormat="false" ht="15" hidden="false" customHeight="true" outlineLevel="0" collapsed="false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customFormat="false" ht="15" hidden="false" customHeight="true" outlineLevel="0" collapsed="false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customFormat="false" ht="15" hidden="false" customHeight="true" outlineLevel="0" collapsed="false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customFormat="false" ht="15" hidden="false" customHeight="true" outlineLevel="0" collapsed="false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customFormat="false" ht="15" hidden="false" customHeight="true" outlineLevel="0" collapsed="false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customFormat="false" ht="15" hidden="false" customHeight="true" outlineLevel="0" collapsed="false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customFormat="false" ht="15" hidden="false" customHeight="true" outlineLevel="0" collapsed="false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customFormat="false" ht="15" hidden="false" customHeight="true" outlineLevel="0" collapsed="false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customFormat="false" ht="15" hidden="false" customHeight="true" outlineLevel="0" collapsed="false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customFormat="false" ht="15" hidden="false" customHeight="true" outlineLevel="0" collapsed="false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customFormat="false" ht="15" hidden="false" customHeight="true" outlineLevel="0" collapsed="false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customFormat="false" ht="15" hidden="false" customHeight="true" outlineLevel="0" collapsed="false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customFormat="false" ht="15" hidden="false" customHeight="true" outlineLevel="0" collapsed="false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customFormat="false" ht="15" hidden="false" customHeight="true" outlineLevel="0" collapsed="false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customFormat="false" ht="15" hidden="false" customHeight="true" outlineLevel="0" collapsed="false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customFormat="false" ht="15" hidden="false" customHeight="true" outlineLevel="0" collapsed="false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customFormat="false" ht="15" hidden="false" customHeight="true" outlineLevel="0" collapsed="false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customFormat="false" ht="15" hidden="false" customHeight="true" outlineLevel="0" collapsed="false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customFormat="false" ht="15" hidden="false" customHeight="true" outlineLevel="0" collapsed="false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customFormat="false" ht="15" hidden="false" customHeight="true" outlineLevel="0" collapsed="false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customFormat="false" ht="15" hidden="false" customHeight="true" outlineLevel="0" collapsed="false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customFormat="false" ht="15" hidden="false" customHeight="true" outlineLevel="0" collapsed="false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customFormat="false" ht="15" hidden="false" customHeight="true" outlineLevel="0" collapsed="false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customFormat="false" ht="15" hidden="false" customHeight="true" outlineLevel="0" collapsed="false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customFormat="false" ht="15" hidden="false" customHeight="true" outlineLevel="0" collapsed="false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customFormat="false" ht="15" hidden="false" customHeight="true" outlineLevel="0" collapsed="false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customFormat="false" ht="15" hidden="false" customHeight="true" outlineLevel="0" collapsed="false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customFormat="false" ht="15" hidden="false" customHeight="true" outlineLevel="0" collapsed="false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customFormat="false" ht="15" hidden="false" customHeight="true" outlineLevel="0" collapsed="false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customFormat="false" ht="15" hidden="false" customHeight="true" outlineLevel="0" collapsed="false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customFormat="false" ht="15" hidden="false" customHeight="true" outlineLevel="0" collapsed="false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customFormat="false" ht="15" hidden="false" customHeight="true" outlineLevel="0" collapsed="false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customFormat="false" ht="15" hidden="false" customHeight="true" outlineLevel="0" collapsed="false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customFormat="false" ht="15" hidden="false" customHeight="true" outlineLevel="0" collapsed="false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customFormat="false" ht="15" hidden="false" customHeight="true" outlineLevel="0" collapsed="false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customFormat="false" ht="15" hidden="false" customHeight="true" outlineLevel="0" collapsed="false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customFormat="false" ht="15" hidden="false" customHeight="true" outlineLevel="0" collapsed="false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customFormat="false" ht="15" hidden="false" customHeight="true" outlineLevel="0" collapsed="false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customFormat="false" ht="15" hidden="false" customHeight="true" outlineLevel="0" collapsed="false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customFormat="false" ht="15" hidden="false" customHeight="true" outlineLevel="0" collapsed="false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customFormat="false" ht="15" hidden="false" customHeight="true" outlineLevel="0" collapsed="false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customFormat="false" ht="15" hidden="false" customHeight="true" outlineLevel="0" collapsed="false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customFormat="false" ht="15" hidden="false" customHeight="true" outlineLevel="0" collapsed="false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customFormat="false" ht="15" hidden="false" customHeight="true" outlineLevel="0" collapsed="false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customFormat="false" ht="15" hidden="false" customHeight="true" outlineLevel="0" collapsed="false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customFormat="false" ht="15" hidden="false" customHeight="true" outlineLevel="0" collapsed="false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customFormat="false" ht="15" hidden="false" customHeight="true" outlineLevel="0" collapsed="false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customFormat="false" ht="15" hidden="false" customHeight="true" outlineLevel="0" collapsed="false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customFormat="false" ht="15" hidden="false" customHeight="true" outlineLevel="0" collapsed="false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customFormat="false" ht="15" hidden="false" customHeight="true" outlineLevel="0" collapsed="false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customFormat="false" ht="15" hidden="false" customHeight="true" outlineLevel="0" collapsed="false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customFormat="false" ht="15" hidden="false" customHeight="true" outlineLevel="0" collapsed="false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customFormat="false" ht="15" hidden="false" customHeight="true" outlineLevel="0" collapsed="false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customFormat="false" ht="15" hidden="false" customHeight="true" outlineLevel="0" collapsed="false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customFormat="false" ht="15" hidden="false" customHeight="true" outlineLevel="0" collapsed="false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customFormat="false" ht="15" hidden="false" customHeight="true" outlineLevel="0" collapsed="false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customFormat="false" ht="15" hidden="false" customHeight="true" outlineLevel="0" collapsed="false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customFormat="false" ht="15" hidden="false" customHeight="true" outlineLevel="0" collapsed="false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customFormat="false" ht="15" hidden="false" customHeight="true" outlineLevel="0" collapsed="false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customFormat="false" ht="15" hidden="false" customHeight="true" outlineLevel="0" collapsed="false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customFormat="false" ht="15" hidden="false" customHeight="true" outlineLevel="0" collapsed="false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customFormat="false" ht="15" hidden="false" customHeight="true" outlineLevel="0" collapsed="false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customFormat="false" ht="15" hidden="false" customHeight="true" outlineLevel="0" collapsed="false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customFormat="false" ht="15" hidden="false" customHeight="true" outlineLevel="0" collapsed="false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customFormat="false" ht="15" hidden="false" customHeight="true" outlineLevel="0" collapsed="false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customFormat="false" ht="15" hidden="false" customHeight="true" outlineLevel="0" collapsed="false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customFormat="false" ht="15" hidden="false" customHeight="true" outlineLevel="0" collapsed="false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customFormat="false" ht="15" hidden="false" customHeight="true" outlineLevel="0" collapsed="false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customFormat="false" ht="15" hidden="false" customHeight="true" outlineLevel="0" collapsed="false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customFormat="false" ht="15" hidden="false" customHeight="true" outlineLevel="0" collapsed="false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customFormat="false" ht="15" hidden="false" customHeight="true" outlineLevel="0" collapsed="false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customFormat="false" ht="15" hidden="false" customHeight="true" outlineLevel="0" collapsed="false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customFormat="false" ht="15" hidden="false" customHeight="true" outlineLevel="0" collapsed="false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customFormat="false" ht="15" hidden="false" customHeight="true" outlineLevel="0" collapsed="false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customFormat="false" ht="15" hidden="false" customHeight="true" outlineLevel="0" collapsed="false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customFormat="false" ht="15" hidden="false" customHeight="true" outlineLevel="0" collapsed="false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customFormat="false" ht="15" hidden="false" customHeight="true" outlineLevel="0" collapsed="false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customFormat="false" ht="15" hidden="false" customHeight="true" outlineLevel="0" collapsed="false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customFormat="false" ht="15" hidden="false" customHeight="true" outlineLevel="0" collapsed="false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customFormat="false" ht="15" hidden="false" customHeight="true" outlineLevel="0" collapsed="false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customFormat="false" ht="15" hidden="false" customHeight="true" outlineLevel="0" collapsed="false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customFormat="false" ht="15" hidden="false" customHeight="true" outlineLevel="0" collapsed="false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customFormat="false" ht="15" hidden="false" customHeight="true" outlineLevel="0" collapsed="false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customFormat="false" ht="15" hidden="false" customHeight="true" outlineLevel="0" collapsed="false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customFormat="false" ht="15" hidden="false" customHeight="true" outlineLevel="0" collapsed="false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customFormat="false" ht="15" hidden="false" customHeight="true" outlineLevel="0" collapsed="false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customFormat="false" ht="15" hidden="false" customHeight="true" outlineLevel="0" collapsed="false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customFormat="false" ht="15" hidden="false" customHeight="true" outlineLevel="0" collapsed="false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customFormat="false" ht="15" hidden="false" customHeight="true" outlineLevel="0" collapsed="false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customFormat="false" ht="15" hidden="false" customHeight="true" outlineLevel="0" collapsed="false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customFormat="false" ht="15" hidden="false" customHeight="true" outlineLevel="0" collapsed="false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customFormat="false" ht="15" hidden="false" customHeight="true" outlineLevel="0" collapsed="false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customFormat="false" ht="15" hidden="false" customHeight="true" outlineLevel="0" collapsed="false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customFormat="false" ht="15" hidden="false" customHeight="true" outlineLevel="0" collapsed="false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customFormat="false" ht="15" hidden="false" customHeight="true" outlineLevel="0" collapsed="false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customFormat="false" ht="15" hidden="false" customHeight="true" outlineLevel="0" collapsed="false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customFormat="false" ht="15" hidden="false" customHeight="true" outlineLevel="0" collapsed="false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customFormat="false" ht="15" hidden="false" customHeight="true" outlineLevel="0" collapsed="false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customFormat="false" ht="15" hidden="false" customHeight="true" outlineLevel="0" collapsed="false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customFormat="false" ht="15" hidden="false" customHeight="true" outlineLevel="0" collapsed="false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customFormat="false" ht="15" hidden="false" customHeight="true" outlineLevel="0" collapsed="false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customFormat="false" ht="15" hidden="false" customHeight="true" outlineLevel="0" collapsed="false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customFormat="false" ht="15" hidden="false" customHeight="true" outlineLevel="0" collapsed="false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customFormat="false" ht="15" hidden="false" customHeight="true" outlineLevel="0" collapsed="false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customFormat="false" ht="15" hidden="false" customHeight="true" outlineLevel="0" collapsed="false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customFormat="false" ht="15" hidden="false" customHeight="true" outlineLevel="0" collapsed="false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customFormat="false" ht="15" hidden="false" customHeight="true" outlineLevel="0" collapsed="false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customFormat="false" ht="15" hidden="false" customHeight="true" outlineLevel="0" collapsed="false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customFormat="false" ht="15" hidden="false" customHeight="true" outlineLevel="0" collapsed="false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customFormat="false" ht="15" hidden="false" customHeight="true" outlineLevel="0" collapsed="false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customFormat="false" ht="15" hidden="false" customHeight="true" outlineLevel="0" collapsed="false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customFormat="false" ht="15" hidden="false" customHeight="true" outlineLevel="0" collapsed="false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customFormat="false" ht="15" hidden="false" customHeight="true" outlineLevel="0" collapsed="false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customFormat="false" ht="15" hidden="false" customHeight="true" outlineLevel="0" collapsed="false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customFormat="false" ht="15" hidden="false" customHeight="true" outlineLevel="0" collapsed="false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customFormat="false" ht="15" hidden="false" customHeight="true" outlineLevel="0" collapsed="false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customFormat="false" ht="15" hidden="false" customHeight="true" outlineLevel="0" collapsed="false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customFormat="false" ht="15" hidden="false" customHeight="true" outlineLevel="0" collapsed="false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customFormat="false" ht="15" hidden="false" customHeight="true" outlineLevel="0" collapsed="false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customFormat="false" ht="15" hidden="false" customHeight="true" outlineLevel="0" collapsed="false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customFormat="false" ht="15" hidden="false" customHeight="true" outlineLevel="0" collapsed="false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customFormat="false" ht="15" hidden="false" customHeight="true" outlineLevel="0" collapsed="false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customFormat="false" ht="15" hidden="false" customHeight="true" outlineLevel="0" collapsed="false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customFormat="false" ht="15" hidden="false" customHeight="true" outlineLevel="0" collapsed="false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customFormat="false" ht="15" hidden="false" customHeight="true" outlineLevel="0" collapsed="false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customFormat="false" ht="15" hidden="false" customHeight="true" outlineLevel="0" collapsed="false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customFormat="false" ht="15" hidden="false" customHeight="true" outlineLevel="0" collapsed="false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customFormat="false" ht="15" hidden="false" customHeight="true" outlineLevel="0" collapsed="false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customFormat="false" ht="15" hidden="false" customHeight="true" outlineLevel="0" collapsed="false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customFormat="false" ht="15" hidden="false" customHeight="true" outlineLevel="0" collapsed="false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customFormat="false" ht="15" hidden="false" customHeight="true" outlineLevel="0" collapsed="false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customFormat="false" ht="15" hidden="false" customHeight="true" outlineLevel="0" collapsed="false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customFormat="false" ht="15" hidden="false" customHeight="true" outlineLevel="0" collapsed="false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customFormat="false" ht="15" hidden="false" customHeight="true" outlineLevel="0" collapsed="false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customFormat="false" ht="15" hidden="false" customHeight="true" outlineLevel="0" collapsed="false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customFormat="false" ht="15" hidden="false" customHeight="true" outlineLevel="0" collapsed="false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customFormat="false" ht="15" hidden="false" customHeight="true" outlineLevel="0" collapsed="false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customFormat="false" ht="15" hidden="false" customHeight="true" outlineLevel="0" collapsed="false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customFormat="false" ht="15" hidden="false" customHeight="true" outlineLevel="0" collapsed="false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customFormat="false" ht="15" hidden="false" customHeight="true" outlineLevel="0" collapsed="false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customFormat="false" ht="15" hidden="false" customHeight="true" outlineLevel="0" collapsed="false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customFormat="false" ht="15" hidden="false" customHeight="true" outlineLevel="0" collapsed="false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customFormat="false" ht="15" hidden="false" customHeight="true" outlineLevel="0" collapsed="false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customFormat="false" ht="15" hidden="false" customHeight="true" outlineLevel="0" collapsed="false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customFormat="false" ht="15" hidden="false" customHeight="true" outlineLevel="0" collapsed="false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customFormat="false" ht="15" hidden="false" customHeight="true" outlineLevel="0" collapsed="false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customFormat="false" ht="15" hidden="false" customHeight="true" outlineLevel="0" collapsed="false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customFormat="false" ht="15" hidden="false" customHeight="true" outlineLevel="0" collapsed="false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customFormat="false" ht="15" hidden="false" customHeight="true" outlineLevel="0" collapsed="false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customFormat="false" ht="15" hidden="false" customHeight="true" outlineLevel="0" collapsed="false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customFormat="false" ht="15" hidden="false" customHeight="true" outlineLevel="0" collapsed="false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customFormat="false" ht="15" hidden="false" customHeight="true" outlineLevel="0" collapsed="false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customFormat="false" ht="15" hidden="false" customHeight="true" outlineLevel="0" collapsed="false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customFormat="false" ht="15" hidden="false" customHeight="true" outlineLevel="0" collapsed="false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customFormat="false" ht="15" hidden="false" customHeight="true" outlineLevel="0" collapsed="false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customFormat="false" ht="15" hidden="false" customHeight="true" outlineLevel="0" collapsed="false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customFormat="false" ht="15" hidden="false" customHeight="true" outlineLevel="0" collapsed="false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customFormat="false" ht="15" hidden="false" customHeight="true" outlineLevel="0" collapsed="false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customFormat="false" ht="15" hidden="false" customHeight="true" outlineLevel="0" collapsed="false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customFormat="false" ht="15" hidden="false" customHeight="true" outlineLevel="0" collapsed="false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customFormat="false" ht="15" hidden="false" customHeight="true" outlineLevel="0" collapsed="false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customFormat="false" ht="15" hidden="false" customHeight="true" outlineLevel="0" collapsed="false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customFormat="false" ht="15" hidden="false" customHeight="true" outlineLevel="0" collapsed="false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customFormat="false" ht="15" hidden="false" customHeight="true" outlineLevel="0" collapsed="false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customFormat="false" ht="15" hidden="false" customHeight="true" outlineLevel="0" collapsed="false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customFormat="false" ht="15" hidden="false" customHeight="true" outlineLevel="0" collapsed="false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customFormat="false" ht="15" hidden="false" customHeight="true" outlineLevel="0" collapsed="false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customFormat="false" ht="15" hidden="false" customHeight="true" outlineLevel="0" collapsed="false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customFormat="false" ht="15" hidden="false" customHeight="true" outlineLevel="0" collapsed="false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customFormat="false" ht="15" hidden="false" customHeight="true" outlineLevel="0" collapsed="false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customFormat="false" ht="15" hidden="false" customHeight="true" outlineLevel="0" collapsed="false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customFormat="false" ht="15" hidden="false" customHeight="true" outlineLevel="0" collapsed="false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customFormat="false" ht="15" hidden="false" customHeight="true" outlineLevel="0" collapsed="false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customFormat="false" ht="15" hidden="false" customHeight="true" outlineLevel="0" collapsed="false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customFormat="false" ht="15" hidden="false" customHeight="true" outlineLevel="0" collapsed="false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customFormat="false" ht="15" hidden="false" customHeight="true" outlineLevel="0" collapsed="false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customFormat="false" ht="15" hidden="false" customHeight="true" outlineLevel="0" collapsed="false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customFormat="false" ht="15" hidden="false" customHeight="true" outlineLevel="0" collapsed="false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customFormat="false" ht="15" hidden="false" customHeight="true" outlineLevel="0" collapsed="false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customFormat="false" ht="15" hidden="false" customHeight="true" outlineLevel="0" collapsed="false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customFormat="false" ht="15" hidden="false" customHeight="true" outlineLevel="0" collapsed="false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customFormat="false" ht="15" hidden="false" customHeight="true" outlineLevel="0" collapsed="false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customFormat="false" ht="15" hidden="false" customHeight="true" outlineLevel="0" collapsed="false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customFormat="false" ht="15" hidden="false" customHeight="true" outlineLevel="0" collapsed="false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customFormat="false" ht="15" hidden="false" customHeight="true" outlineLevel="0" collapsed="false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customFormat="false" ht="15" hidden="false" customHeight="true" outlineLevel="0" collapsed="false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customFormat="false" ht="15" hidden="false" customHeight="true" outlineLevel="0" collapsed="false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customFormat="false" ht="15" hidden="false" customHeight="true" outlineLevel="0" collapsed="false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customFormat="false" ht="15" hidden="false" customHeight="true" outlineLevel="0" collapsed="false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customFormat="false" ht="15" hidden="false" customHeight="true" outlineLevel="0" collapsed="false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customFormat="false" ht="15" hidden="false" customHeight="true" outlineLevel="0" collapsed="false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customFormat="false" ht="15" hidden="false" customHeight="true" outlineLevel="0" collapsed="false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customFormat="false" ht="15" hidden="false" customHeight="true" outlineLevel="0" collapsed="false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customFormat="false" ht="15" hidden="false" customHeight="true" outlineLevel="0" collapsed="false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customFormat="false" ht="15" hidden="false" customHeight="true" outlineLevel="0" collapsed="false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customFormat="false" ht="15" hidden="false" customHeight="true" outlineLevel="0" collapsed="false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customFormat="false" ht="15" hidden="false" customHeight="true" outlineLevel="0" collapsed="false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customFormat="false" ht="15" hidden="false" customHeight="true" outlineLevel="0" collapsed="false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customFormat="false" ht="15" hidden="false" customHeight="true" outlineLevel="0" collapsed="false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customFormat="false" ht="15" hidden="false" customHeight="true" outlineLevel="0" collapsed="false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customFormat="false" ht="15" hidden="false" customHeight="true" outlineLevel="0" collapsed="false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customFormat="false" ht="15" hidden="false" customHeight="true" outlineLevel="0" collapsed="false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customFormat="false" ht="15" hidden="false" customHeight="true" outlineLevel="0" collapsed="false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customFormat="false" ht="15" hidden="false" customHeight="true" outlineLevel="0" collapsed="false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customFormat="false" ht="15" hidden="false" customHeight="true" outlineLevel="0" collapsed="false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customFormat="false" ht="15" hidden="false" customHeight="true" outlineLevel="0" collapsed="false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customFormat="false" ht="15" hidden="false" customHeight="true" outlineLevel="0" collapsed="false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customFormat="false" ht="15" hidden="false" customHeight="true" outlineLevel="0" collapsed="false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customFormat="false" ht="15" hidden="false" customHeight="true" outlineLevel="0" collapsed="false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customFormat="false" ht="15" hidden="false" customHeight="true" outlineLevel="0" collapsed="false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customFormat="false" ht="15" hidden="false" customHeight="true" outlineLevel="0" collapsed="false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customFormat="false" ht="15" hidden="false" customHeight="true" outlineLevel="0" collapsed="false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customFormat="false" ht="15" hidden="false" customHeight="true" outlineLevel="0" collapsed="false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customFormat="false" ht="15" hidden="false" customHeight="true" outlineLevel="0" collapsed="false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customFormat="false" ht="15" hidden="false" customHeight="true" outlineLevel="0" collapsed="false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customFormat="false" ht="15" hidden="false" customHeight="true" outlineLevel="0" collapsed="false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customFormat="false" ht="15" hidden="false" customHeight="true" outlineLevel="0" collapsed="false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customFormat="false" ht="15" hidden="false" customHeight="true" outlineLevel="0" collapsed="false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customFormat="false" ht="15" hidden="false" customHeight="true" outlineLevel="0" collapsed="false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customFormat="false" ht="15" hidden="false" customHeight="true" outlineLevel="0" collapsed="false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customFormat="false" ht="15" hidden="false" customHeight="true" outlineLevel="0" collapsed="false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customFormat="false" ht="15" hidden="false" customHeight="true" outlineLevel="0" collapsed="false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customFormat="false" ht="15" hidden="false" customHeight="true" outlineLevel="0" collapsed="false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customFormat="false" ht="15" hidden="false" customHeight="true" outlineLevel="0" collapsed="false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customFormat="false" ht="15" hidden="false" customHeight="true" outlineLevel="0" collapsed="false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customFormat="false" ht="15" hidden="false" customHeight="true" outlineLevel="0" collapsed="false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customFormat="false" ht="15" hidden="false" customHeight="true" outlineLevel="0" collapsed="false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customFormat="false" ht="15" hidden="false" customHeight="true" outlineLevel="0" collapsed="false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customFormat="false" ht="15" hidden="false" customHeight="true" outlineLevel="0" collapsed="false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customFormat="false" ht="15" hidden="false" customHeight="true" outlineLevel="0" collapsed="false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customFormat="false" ht="15" hidden="false" customHeight="true" outlineLevel="0" collapsed="false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customFormat="false" ht="15" hidden="false" customHeight="true" outlineLevel="0" collapsed="false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customFormat="false" ht="15" hidden="false" customHeight="true" outlineLevel="0" collapsed="false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customFormat="false" ht="15" hidden="false" customHeight="true" outlineLevel="0" collapsed="false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customFormat="false" ht="15" hidden="false" customHeight="true" outlineLevel="0" collapsed="false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customFormat="false" ht="15" hidden="false" customHeight="true" outlineLevel="0" collapsed="false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customFormat="false" ht="15" hidden="false" customHeight="true" outlineLevel="0" collapsed="false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customFormat="false" ht="15" hidden="false" customHeight="true" outlineLevel="0" collapsed="false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customFormat="false" ht="15" hidden="false" customHeight="true" outlineLevel="0" collapsed="false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customFormat="false" ht="15" hidden="false" customHeight="true" outlineLevel="0" collapsed="false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customFormat="false" ht="15" hidden="false" customHeight="true" outlineLevel="0" collapsed="false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customFormat="false" ht="15" hidden="false" customHeight="true" outlineLevel="0" collapsed="false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customFormat="false" ht="15" hidden="false" customHeight="true" outlineLevel="0" collapsed="false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customFormat="false" ht="15" hidden="false" customHeight="true" outlineLevel="0" collapsed="false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customFormat="false" ht="15" hidden="false" customHeight="true" outlineLevel="0" collapsed="false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customFormat="false" ht="15" hidden="false" customHeight="true" outlineLevel="0" collapsed="false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customFormat="false" ht="15" hidden="false" customHeight="true" outlineLevel="0" collapsed="false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customFormat="false" ht="15" hidden="false" customHeight="true" outlineLevel="0" collapsed="false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customFormat="false" ht="15" hidden="false" customHeight="true" outlineLevel="0" collapsed="false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customFormat="false" ht="15" hidden="false" customHeight="true" outlineLevel="0" collapsed="false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customFormat="false" ht="15" hidden="false" customHeight="true" outlineLevel="0" collapsed="false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customFormat="false" ht="15" hidden="false" customHeight="true" outlineLevel="0" collapsed="false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customFormat="false" ht="15" hidden="false" customHeight="true" outlineLevel="0" collapsed="false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customFormat="false" ht="15" hidden="false" customHeight="true" outlineLevel="0" collapsed="false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customFormat="false" ht="15" hidden="false" customHeight="true" outlineLevel="0" collapsed="false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customFormat="false" ht="15" hidden="false" customHeight="true" outlineLevel="0" collapsed="false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customFormat="false" ht="15" hidden="false" customHeight="true" outlineLevel="0" collapsed="false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customFormat="false" ht="15" hidden="false" customHeight="true" outlineLevel="0" collapsed="false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customFormat="false" ht="15" hidden="false" customHeight="true" outlineLevel="0" collapsed="false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customFormat="false" ht="15" hidden="false" customHeight="true" outlineLevel="0" collapsed="false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customFormat="false" ht="15" hidden="false" customHeight="true" outlineLevel="0" collapsed="false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customFormat="false" ht="15" hidden="false" customHeight="true" outlineLevel="0" collapsed="false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customFormat="false" ht="15" hidden="false" customHeight="true" outlineLevel="0" collapsed="false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customFormat="false" ht="15" hidden="false" customHeight="true" outlineLevel="0" collapsed="false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customFormat="false" ht="15" hidden="false" customHeight="true" outlineLevel="0" collapsed="false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customFormat="false" ht="15" hidden="false" customHeight="true" outlineLevel="0" collapsed="false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customFormat="false" ht="15" hidden="false" customHeight="true" outlineLevel="0" collapsed="false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customFormat="false" ht="15" hidden="false" customHeight="true" outlineLevel="0" collapsed="false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customFormat="false" ht="15" hidden="false" customHeight="true" outlineLevel="0" collapsed="false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customFormat="false" ht="15" hidden="false" customHeight="true" outlineLevel="0" collapsed="false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customFormat="false" ht="15" hidden="false" customHeight="true" outlineLevel="0" collapsed="false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customFormat="false" ht="15" hidden="false" customHeight="true" outlineLevel="0" collapsed="false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customFormat="false" ht="15" hidden="false" customHeight="true" outlineLevel="0" collapsed="false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customFormat="false" ht="15" hidden="false" customHeight="true" outlineLevel="0" collapsed="false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customFormat="false" ht="15" hidden="false" customHeight="true" outlineLevel="0" collapsed="false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customFormat="false" ht="15" hidden="false" customHeight="true" outlineLevel="0" collapsed="false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customFormat="false" ht="15" hidden="false" customHeight="true" outlineLevel="0" collapsed="false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customFormat="false" ht="15" hidden="false" customHeight="true" outlineLevel="0" collapsed="false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customFormat="false" ht="15" hidden="false" customHeight="true" outlineLevel="0" collapsed="false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customFormat="false" ht="15" hidden="false" customHeight="true" outlineLevel="0" collapsed="false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customFormat="false" ht="15" hidden="false" customHeight="true" outlineLevel="0" collapsed="false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customFormat="false" ht="15" hidden="false" customHeight="true" outlineLevel="0" collapsed="false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customFormat="false" ht="15" hidden="false" customHeight="true" outlineLevel="0" collapsed="false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customFormat="false" ht="15" hidden="false" customHeight="true" outlineLevel="0" collapsed="false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customFormat="false" ht="15" hidden="false" customHeight="true" outlineLevel="0" collapsed="false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customFormat="false" ht="15" hidden="false" customHeight="true" outlineLevel="0" collapsed="false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customFormat="false" ht="15" hidden="false" customHeight="true" outlineLevel="0" collapsed="false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customFormat="false" ht="15" hidden="false" customHeight="true" outlineLevel="0" collapsed="false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customFormat="false" ht="15" hidden="false" customHeight="true" outlineLevel="0" collapsed="false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customFormat="false" ht="15" hidden="false" customHeight="true" outlineLevel="0" collapsed="false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customFormat="false" ht="15" hidden="false" customHeight="true" outlineLevel="0" collapsed="false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customFormat="false" ht="15" hidden="false" customHeight="true" outlineLevel="0" collapsed="false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customFormat="false" ht="15" hidden="false" customHeight="true" outlineLevel="0" collapsed="false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customFormat="false" ht="15" hidden="false" customHeight="true" outlineLevel="0" collapsed="false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customFormat="false" ht="15" hidden="false" customHeight="true" outlineLevel="0" collapsed="false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customFormat="false" ht="15" hidden="false" customHeight="true" outlineLevel="0" collapsed="false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customFormat="false" ht="15" hidden="false" customHeight="true" outlineLevel="0" collapsed="false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customFormat="false" ht="15" hidden="false" customHeight="true" outlineLevel="0" collapsed="false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customFormat="false" ht="15" hidden="false" customHeight="true" outlineLevel="0" collapsed="false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customFormat="false" ht="15" hidden="false" customHeight="true" outlineLevel="0" collapsed="false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customFormat="false" ht="15" hidden="false" customHeight="true" outlineLevel="0" collapsed="false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customFormat="false" ht="15" hidden="false" customHeight="true" outlineLevel="0" collapsed="false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customFormat="false" ht="15" hidden="false" customHeight="true" outlineLevel="0" collapsed="false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customFormat="false" ht="15" hidden="false" customHeight="true" outlineLevel="0" collapsed="false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customFormat="false" ht="15" hidden="false" customHeight="true" outlineLevel="0" collapsed="false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customFormat="false" ht="15" hidden="false" customHeight="true" outlineLevel="0" collapsed="false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customFormat="false" ht="15" hidden="false" customHeight="true" outlineLevel="0" collapsed="false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customFormat="false" ht="15" hidden="false" customHeight="true" outlineLevel="0" collapsed="false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customFormat="false" ht="15" hidden="false" customHeight="true" outlineLevel="0" collapsed="false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customFormat="false" ht="15" hidden="false" customHeight="true" outlineLevel="0" collapsed="false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customFormat="false" ht="15" hidden="false" customHeight="true" outlineLevel="0" collapsed="false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customFormat="false" ht="15" hidden="false" customHeight="true" outlineLevel="0" collapsed="false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customFormat="false" ht="15" hidden="false" customHeight="true" outlineLevel="0" collapsed="false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customFormat="false" ht="15" hidden="false" customHeight="true" outlineLevel="0" collapsed="false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customFormat="false" ht="15" hidden="false" customHeight="true" outlineLevel="0" collapsed="false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customFormat="false" ht="15" hidden="false" customHeight="true" outlineLevel="0" collapsed="false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customFormat="false" ht="15" hidden="false" customHeight="true" outlineLevel="0" collapsed="false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customFormat="false" ht="15" hidden="false" customHeight="true" outlineLevel="0" collapsed="false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customFormat="false" ht="15" hidden="false" customHeight="true" outlineLevel="0" collapsed="false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customFormat="false" ht="15" hidden="false" customHeight="true" outlineLevel="0" collapsed="false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customFormat="false" ht="15" hidden="false" customHeight="true" outlineLevel="0" collapsed="false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customFormat="false" ht="15" hidden="false" customHeight="true" outlineLevel="0" collapsed="false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customFormat="false" ht="15" hidden="false" customHeight="true" outlineLevel="0" collapsed="false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customFormat="false" ht="15" hidden="false" customHeight="true" outlineLevel="0" collapsed="false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customFormat="false" ht="15" hidden="false" customHeight="true" outlineLevel="0" collapsed="false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customFormat="false" ht="15" hidden="false" customHeight="true" outlineLevel="0" collapsed="false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customFormat="false" ht="15" hidden="false" customHeight="true" outlineLevel="0" collapsed="false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customFormat="false" ht="15" hidden="false" customHeight="true" outlineLevel="0" collapsed="false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customFormat="false" ht="15" hidden="false" customHeight="true" outlineLevel="0" collapsed="false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customFormat="false" ht="15" hidden="false" customHeight="true" outlineLevel="0" collapsed="false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customFormat="false" ht="15" hidden="false" customHeight="true" outlineLevel="0" collapsed="false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customFormat="false" ht="15" hidden="false" customHeight="true" outlineLevel="0" collapsed="false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customFormat="false" ht="15" hidden="false" customHeight="true" outlineLevel="0" collapsed="false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customFormat="false" ht="15" hidden="false" customHeight="true" outlineLevel="0" collapsed="false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customFormat="false" ht="15" hidden="false" customHeight="true" outlineLevel="0" collapsed="false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customFormat="false" ht="15" hidden="false" customHeight="true" outlineLevel="0" collapsed="false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customFormat="false" ht="15" hidden="false" customHeight="true" outlineLevel="0" collapsed="false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customFormat="false" ht="15" hidden="false" customHeight="true" outlineLevel="0" collapsed="false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customFormat="false" ht="15" hidden="false" customHeight="true" outlineLevel="0" collapsed="false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customFormat="false" ht="15" hidden="false" customHeight="true" outlineLevel="0" collapsed="false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customFormat="false" ht="15" hidden="false" customHeight="true" outlineLevel="0" collapsed="false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customFormat="false" ht="15" hidden="false" customHeight="true" outlineLevel="0" collapsed="false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customFormat="false" ht="15" hidden="false" customHeight="true" outlineLevel="0" collapsed="false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customFormat="false" ht="15" hidden="false" customHeight="true" outlineLevel="0" collapsed="false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customFormat="false" ht="15" hidden="false" customHeight="true" outlineLevel="0" collapsed="false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customFormat="false" ht="15" hidden="false" customHeight="true" outlineLevel="0" collapsed="false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customFormat="false" ht="15" hidden="false" customHeight="true" outlineLevel="0" collapsed="false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customFormat="false" ht="15" hidden="false" customHeight="true" outlineLevel="0" collapsed="false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customFormat="false" ht="15" hidden="false" customHeight="true" outlineLevel="0" collapsed="false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customFormat="false" ht="15" hidden="false" customHeight="true" outlineLevel="0" collapsed="false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customFormat="false" ht="15" hidden="false" customHeight="true" outlineLevel="0" collapsed="false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customFormat="false" ht="15" hidden="false" customHeight="true" outlineLevel="0" collapsed="false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customFormat="false" ht="15" hidden="false" customHeight="true" outlineLevel="0" collapsed="false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customFormat="false" ht="15" hidden="false" customHeight="true" outlineLevel="0" collapsed="false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customFormat="false" ht="15" hidden="false" customHeight="true" outlineLevel="0" collapsed="false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customFormat="false" ht="15" hidden="false" customHeight="true" outlineLevel="0" collapsed="false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customFormat="false" ht="15" hidden="false" customHeight="true" outlineLevel="0" collapsed="false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customFormat="false" ht="15" hidden="false" customHeight="true" outlineLevel="0" collapsed="false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customFormat="false" ht="15" hidden="false" customHeight="true" outlineLevel="0" collapsed="false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customFormat="false" ht="15" hidden="false" customHeight="true" outlineLevel="0" collapsed="false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customFormat="false" ht="15" hidden="false" customHeight="true" outlineLevel="0" collapsed="false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customFormat="false" ht="15" hidden="false" customHeight="true" outlineLevel="0" collapsed="false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customFormat="false" ht="15" hidden="false" customHeight="true" outlineLevel="0" collapsed="false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customFormat="false" ht="15" hidden="false" customHeight="true" outlineLevel="0" collapsed="false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customFormat="false" ht="15" hidden="false" customHeight="true" outlineLevel="0" collapsed="false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customFormat="false" ht="15" hidden="false" customHeight="true" outlineLevel="0" collapsed="false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customFormat="false" ht="15" hidden="false" customHeight="true" outlineLevel="0" collapsed="false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customFormat="false" ht="15" hidden="false" customHeight="true" outlineLevel="0" collapsed="false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customFormat="false" ht="15" hidden="false" customHeight="true" outlineLevel="0" collapsed="false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customFormat="false" ht="15" hidden="false" customHeight="true" outlineLevel="0" collapsed="false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customFormat="false" ht="15" hidden="false" customHeight="true" outlineLevel="0" collapsed="false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customFormat="false" ht="15" hidden="false" customHeight="true" outlineLevel="0" collapsed="false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customFormat="false" ht="15" hidden="false" customHeight="true" outlineLevel="0" collapsed="false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customFormat="false" ht="15" hidden="false" customHeight="true" outlineLevel="0" collapsed="false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customFormat="false" ht="15" hidden="false" customHeight="true" outlineLevel="0" collapsed="false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customFormat="false" ht="15" hidden="false" customHeight="true" outlineLevel="0" collapsed="false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customFormat="false" ht="15" hidden="false" customHeight="true" outlineLevel="0" collapsed="false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customFormat="false" ht="15" hidden="false" customHeight="true" outlineLevel="0" collapsed="false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customFormat="false" ht="15" hidden="false" customHeight="true" outlineLevel="0" collapsed="false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customFormat="false" ht="15" hidden="false" customHeight="true" outlineLevel="0" collapsed="false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customFormat="false" ht="15" hidden="false" customHeight="true" outlineLevel="0" collapsed="false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customFormat="false" ht="15" hidden="false" customHeight="true" outlineLevel="0" collapsed="false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customFormat="false" ht="15" hidden="false" customHeight="true" outlineLevel="0" collapsed="false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customFormat="false" ht="15" hidden="false" customHeight="true" outlineLevel="0" collapsed="false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customFormat="false" ht="15" hidden="false" customHeight="true" outlineLevel="0" collapsed="false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customFormat="false" ht="15" hidden="false" customHeight="true" outlineLevel="0" collapsed="false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customFormat="false" ht="15" hidden="false" customHeight="true" outlineLevel="0" collapsed="false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customFormat="false" ht="15" hidden="false" customHeight="true" outlineLevel="0" collapsed="false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customFormat="false" ht="15" hidden="false" customHeight="true" outlineLevel="0" collapsed="false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customFormat="false" ht="15" hidden="false" customHeight="true" outlineLevel="0" collapsed="false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customFormat="false" ht="15" hidden="false" customHeight="true" outlineLevel="0" collapsed="false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customFormat="false" ht="15" hidden="false" customHeight="true" outlineLevel="0" collapsed="false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customFormat="false" ht="15" hidden="false" customHeight="true" outlineLevel="0" collapsed="false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customFormat="false" ht="15" hidden="false" customHeight="true" outlineLevel="0" collapsed="false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customFormat="false" ht="15" hidden="false" customHeight="true" outlineLevel="0" collapsed="false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customFormat="false" ht="15" hidden="false" customHeight="true" outlineLevel="0" collapsed="false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customFormat="false" ht="15" hidden="false" customHeight="true" outlineLevel="0" collapsed="false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customFormat="false" ht="15" hidden="false" customHeight="true" outlineLevel="0" collapsed="false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customFormat="false" ht="15" hidden="false" customHeight="true" outlineLevel="0" collapsed="false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customFormat="false" ht="15" hidden="false" customHeight="true" outlineLevel="0" collapsed="false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customFormat="false" ht="15" hidden="false" customHeight="true" outlineLevel="0" collapsed="false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customFormat="false" ht="15" hidden="false" customHeight="true" outlineLevel="0" collapsed="false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customFormat="false" ht="15" hidden="false" customHeight="true" outlineLevel="0" collapsed="false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customFormat="false" ht="15" hidden="false" customHeight="true" outlineLevel="0" collapsed="false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customFormat="false" ht="15" hidden="false" customHeight="true" outlineLevel="0" collapsed="false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customFormat="false" ht="15" hidden="false" customHeight="true" outlineLevel="0" collapsed="false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customFormat="false" ht="15" hidden="false" customHeight="true" outlineLevel="0" collapsed="false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customFormat="false" ht="15" hidden="false" customHeight="true" outlineLevel="0" collapsed="false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customFormat="false" ht="15" hidden="false" customHeight="true" outlineLevel="0" collapsed="false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customFormat="false" ht="15" hidden="false" customHeight="true" outlineLevel="0" collapsed="false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customFormat="false" ht="15" hidden="false" customHeight="true" outlineLevel="0" collapsed="false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customFormat="false" ht="15" hidden="false" customHeight="true" outlineLevel="0" collapsed="false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customFormat="false" ht="15" hidden="false" customHeight="true" outlineLevel="0" collapsed="false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customFormat="false" ht="15" hidden="false" customHeight="true" outlineLevel="0" collapsed="false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customFormat="false" ht="15" hidden="false" customHeight="true" outlineLevel="0" collapsed="false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customFormat="false" ht="15" hidden="false" customHeight="true" outlineLevel="0" collapsed="false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customFormat="false" ht="15" hidden="false" customHeight="true" outlineLevel="0" collapsed="false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customFormat="false" ht="15" hidden="false" customHeight="true" outlineLevel="0" collapsed="false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customFormat="false" ht="15" hidden="false" customHeight="true" outlineLevel="0" collapsed="false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customFormat="false" ht="15" hidden="false" customHeight="true" outlineLevel="0" collapsed="false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customFormat="false" ht="15" hidden="false" customHeight="true" outlineLevel="0" collapsed="false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customFormat="false" ht="15" hidden="false" customHeight="true" outlineLevel="0" collapsed="false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customFormat="false" ht="15" hidden="false" customHeight="true" outlineLevel="0" collapsed="false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customFormat="false" ht="15" hidden="false" customHeight="true" outlineLevel="0" collapsed="false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customFormat="false" ht="15" hidden="false" customHeight="true" outlineLevel="0" collapsed="false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customFormat="false" ht="15" hidden="false" customHeight="true" outlineLevel="0" collapsed="false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customFormat="false" ht="15" hidden="false" customHeight="true" outlineLevel="0" collapsed="false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customFormat="false" ht="15" hidden="false" customHeight="true" outlineLevel="0" collapsed="false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customFormat="false" ht="15" hidden="false" customHeight="true" outlineLevel="0" collapsed="false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customFormat="false" ht="15" hidden="false" customHeight="true" outlineLevel="0" collapsed="false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customFormat="false" ht="15" hidden="false" customHeight="true" outlineLevel="0" collapsed="false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customFormat="false" ht="15" hidden="false" customHeight="true" outlineLevel="0" collapsed="false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customFormat="false" ht="15" hidden="false" customHeight="true" outlineLevel="0" collapsed="false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customFormat="false" ht="15" hidden="false" customHeight="true" outlineLevel="0" collapsed="false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customFormat="false" ht="15" hidden="false" customHeight="true" outlineLevel="0" collapsed="false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customFormat="false" ht="15" hidden="false" customHeight="true" outlineLevel="0" collapsed="false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customFormat="false" ht="15" hidden="false" customHeight="true" outlineLevel="0" collapsed="false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customFormat="false" ht="15" hidden="false" customHeight="true" outlineLevel="0" collapsed="false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customFormat="false" ht="15" hidden="false" customHeight="true" outlineLevel="0" collapsed="false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customFormat="false" ht="15" hidden="false" customHeight="true" outlineLevel="0" collapsed="false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customFormat="false" ht="15" hidden="false" customHeight="true" outlineLevel="0" collapsed="false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customFormat="false" ht="15" hidden="false" customHeight="true" outlineLevel="0" collapsed="false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customFormat="false" ht="15" hidden="false" customHeight="true" outlineLevel="0" collapsed="false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customFormat="false" ht="15" hidden="false" customHeight="true" outlineLevel="0" collapsed="false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customFormat="false" ht="15" hidden="false" customHeight="true" outlineLevel="0" collapsed="false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customFormat="false" ht="15" hidden="false" customHeight="true" outlineLevel="0" collapsed="false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customFormat="false" ht="15" hidden="false" customHeight="true" outlineLevel="0" collapsed="false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customFormat="false" ht="15" hidden="false" customHeight="true" outlineLevel="0" collapsed="false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customFormat="false" ht="15" hidden="false" customHeight="true" outlineLevel="0" collapsed="false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customFormat="false" ht="15" hidden="false" customHeight="true" outlineLevel="0" collapsed="false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customFormat="false" ht="15" hidden="false" customHeight="true" outlineLevel="0" collapsed="false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customFormat="false" ht="15" hidden="false" customHeight="true" outlineLevel="0" collapsed="false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customFormat="false" ht="15" hidden="false" customHeight="true" outlineLevel="0" collapsed="false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customFormat="false" ht="15" hidden="false" customHeight="true" outlineLevel="0" collapsed="false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customFormat="false" ht="15" hidden="false" customHeight="true" outlineLevel="0" collapsed="false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customFormat="false" ht="15" hidden="false" customHeight="true" outlineLevel="0" collapsed="false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customFormat="false" ht="15" hidden="false" customHeight="true" outlineLevel="0" collapsed="false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customFormat="false" ht="15" hidden="false" customHeight="true" outlineLevel="0" collapsed="false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customFormat="false" ht="15" hidden="false" customHeight="true" outlineLevel="0" collapsed="false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customFormat="false" ht="15" hidden="false" customHeight="true" outlineLevel="0" collapsed="false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customFormat="false" ht="15" hidden="false" customHeight="true" outlineLevel="0" collapsed="false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customFormat="false" ht="15" hidden="false" customHeight="true" outlineLevel="0" collapsed="false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customFormat="false" ht="15" hidden="false" customHeight="true" outlineLevel="0" collapsed="false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customFormat="false" ht="15" hidden="false" customHeight="true" outlineLevel="0" collapsed="false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customFormat="false" ht="15" hidden="false" customHeight="true" outlineLevel="0" collapsed="false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customFormat="false" ht="15" hidden="false" customHeight="true" outlineLevel="0" collapsed="false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customFormat="false" ht="15" hidden="false" customHeight="true" outlineLevel="0" collapsed="false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customFormat="false" ht="15" hidden="false" customHeight="true" outlineLevel="0" collapsed="false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customFormat="false" ht="15" hidden="false" customHeight="true" outlineLevel="0" collapsed="false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customFormat="false" ht="15" hidden="false" customHeight="true" outlineLevel="0" collapsed="false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customFormat="false" ht="15" hidden="false" customHeight="true" outlineLevel="0" collapsed="false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customFormat="false" ht="15" hidden="false" customHeight="true" outlineLevel="0" collapsed="false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customFormat="false" ht="15" hidden="false" customHeight="true" outlineLevel="0" collapsed="false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customFormat="false" ht="15" hidden="false" customHeight="true" outlineLevel="0" collapsed="false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customFormat="false" ht="15" hidden="false" customHeight="true" outlineLevel="0" collapsed="false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customFormat="false" ht="15" hidden="false" customHeight="true" outlineLevel="0" collapsed="false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customFormat="false" ht="15" hidden="false" customHeight="true" outlineLevel="0" collapsed="false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customFormat="false" ht="15" hidden="false" customHeight="true" outlineLevel="0" collapsed="false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customFormat="false" ht="15" hidden="false" customHeight="true" outlineLevel="0" collapsed="false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customFormat="false" ht="15" hidden="false" customHeight="true" outlineLevel="0" collapsed="false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customFormat="false" ht="15" hidden="false" customHeight="true" outlineLevel="0" collapsed="false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customFormat="false" ht="15" hidden="false" customHeight="true" outlineLevel="0" collapsed="false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customFormat="false" ht="15" hidden="false" customHeight="true" outlineLevel="0" collapsed="false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customFormat="false" ht="15" hidden="false" customHeight="true" outlineLevel="0" collapsed="false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customFormat="false" ht="15" hidden="false" customHeight="true" outlineLevel="0" collapsed="false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customFormat="false" ht="15" hidden="false" customHeight="true" outlineLevel="0" collapsed="false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customFormat="false" ht="15" hidden="false" customHeight="true" outlineLevel="0" collapsed="false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customFormat="false" ht="15" hidden="false" customHeight="true" outlineLevel="0" collapsed="false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customFormat="false" ht="15" hidden="false" customHeight="true" outlineLevel="0" collapsed="false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customFormat="false" ht="15" hidden="false" customHeight="true" outlineLevel="0" collapsed="false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customFormat="false" ht="15" hidden="false" customHeight="true" outlineLevel="0" collapsed="false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customFormat="false" ht="15" hidden="false" customHeight="true" outlineLevel="0" collapsed="false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customFormat="false" ht="15" hidden="false" customHeight="true" outlineLevel="0" collapsed="false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customFormat="false" ht="15" hidden="false" customHeight="true" outlineLevel="0" collapsed="false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customFormat="false" ht="15" hidden="false" customHeight="true" outlineLevel="0" collapsed="false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customFormat="false" ht="15" hidden="false" customHeight="true" outlineLevel="0" collapsed="false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customFormat="false" ht="15" hidden="false" customHeight="true" outlineLevel="0" collapsed="false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customFormat="false" ht="15" hidden="false" customHeight="true" outlineLevel="0" collapsed="false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customFormat="false" ht="15" hidden="false" customHeight="true" outlineLevel="0" collapsed="false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customFormat="false" ht="15" hidden="false" customHeight="true" outlineLevel="0" collapsed="false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customFormat="false" ht="15" hidden="false" customHeight="true" outlineLevel="0" collapsed="false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customFormat="false" ht="15" hidden="false" customHeight="true" outlineLevel="0" collapsed="false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customFormat="false" ht="15" hidden="false" customHeight="true" outlineLevel="0" collapsed="false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customFormat="false" ht="15" hidden="false" customHeight="true" outlineLevel="0" collapsed="false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customFormat="false" ht="15" hidden="false" customHeight="true" outlineLevel="0" collapsed="false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customFormat="false" ht="15" hidden="false" customHeight="true" outlineLevel="0" collapsed="false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customFormat="false" ht="15" hidden="false" customHeight="true" outlineLevel="0" collapsed="false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customFormat="false" ht="15" hidden="false" customHeight="true" outlineLevel="0" collapsed="false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customFormat="false" ht="15" hidden="false" customHeight="true" outlineLevel="0" collapsed="false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customFormat="false" ht="15" hidden="false" customHeight="true" outlineLevel="0" collapsed="false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customFormat="false" ht="15" hidden="false" customHeight="true" outlineLevel="0" collapsed="false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customFormat="false" ht="15" hidden="false" customHeight="true" outlineLevel="0" collapsed="false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customFormat="false" ht="15" hidden="false" customHeight="true" outlineLevel="0" collapsed="false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customFormat="false" ht="15" hidden="false" customHeight="true" outlineLevel="0" collapsed="false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customFormat="false" ht="15" hidden="false" customHeight="true" outlineLevel="0" collapsed="false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customFormat="false" ht="15" hidden="false" customHeight="true" outlineLevel="0" collapsed="false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customFormat="false" ht="15" hidden="false" customHeight="true" outlineLevel="0" collapsed="false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customFormat="false" ht="15" hidden="false" customHeight="true" outlineLevel="0" collapsed="false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customFormat="false" ht="15" hidden="false" customHeight="true" outlineLevel="0" collapsed="false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customFormat="false" ht="15" hidden="false" customHeight="true" outlineLevel="0" collapsed="false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customFormat="false" ht="15" hidden="false" customHeight="true" outlineLevel="0" collapsed="false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customFormat="false" ht="15" hidden="false" customHeight="true" outlineLevel="0" collapsed="false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customFormat="false" ht="15" hidden="false" customHeight="true" outlineLevel="0" collapsed="false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customFormat="false" ht="15" hidden="false" customHeight="true" outlineLevel="0" collapsed="false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customFormat="false" ht="15" hidden="false" customHeight="true" outlineLevel="0" collapsed="false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customFormat="false" ht="15" hidden="false" customHeight="true" outlineLevel="0" collapsed="false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customFormat="false" ht="15" hidden="false" customHeight="true" outlineLevel="0" collapsed="false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customFormat="false" ht="15" hidden="false" customHeight="true" outlineLevel="0" collapsed="false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customFormat="false" ht="15" hidden="false" customHeight="true" outlineLevel="0" collapsed="false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customFormat="false" ht="15" hidden="false" customHeight="true" outlineLevel="0" collapsed="false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customFormat="false" ht="15" hidden="false" customHeight="true" outlineLevel="0" collapsed="false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customFormat="false" ht="15" hidden="false" customHeight="true" outlineLevel="0" collapsed="false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customFormat="false" ht="15" hidden="false" customHeight="true" outlineLevel="0" collapsed="false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customFormat="false" ht="15" hidden="false" customHeight="true" outlineLevel="0" collapsed="false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customFormat="false" ht="15" hidden="false" customHeight="true" outlineLevel="0" collapsed="false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customFormat="false" ht="15" hidden="false" customHeight="true" outlineLevel="0" collapsed="false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customFormat="false" ht="15" hidden="false" customHeight="true" outlineLevel="0" collapsed="false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customFormat="false" ht="15" hidden="false" customHeight="true" outlineLevel="0" collapsed="false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customFormat="false" ht="15" hidden="false" customHeight="true" outlineLevel="0" collapsed="false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customFormat="false" ht="15" hidden="false" customHeight="true" outlineLevel="0" collapsed="false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customFormat="false" ht="15" hidden="false" customHeight="true" outlineLevel="0" collapsed="false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customFormat="false" ht="15" hidden="false" customHeight="true" outlineLevel="0" collapsed="false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customFormat="false" ht="15" hidden="false" customHeight="true" outlineLevel="0" collapsed="false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customFormat="false" ht="15" hidden="false" customHeight="true" outlineLevel="0" collapsed="false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customFormat="false" ht="15" hidden="false" customHeight="true" outlineLevel="0" collapsed="false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customFormat="false" ht="15" hidden="false" customHeight="true" outlineLevel="0" collapsed="false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customFormat="false" ht="15" hidden="false" customHeight="true" outlineLevel="0" collapsed="false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customFormat="false" ht="15" hidden="false" customHeight="true" outlineLevel="0" collapsed="false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customFormat="false" ht="15" hidden="false" customHeight="true" outlineLevel="0" collapsed="false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customFormat="false" ht="15" hidden="false" customHeight="true" outlineLevel="0" collapsed="false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customFormat="false" ht="15" hidden="false" customHeight="true" outlineLevel="0" collapsed="false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customFormat="false" ht="15" hidden="false" customHeight="true" outlineLevel="0" collapsed="false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customFormat="false" ht="15" hidden="false" customHeight="true" outlineLevel="0" collapsed="false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customFormat="false" ht="15" hidden="false" customHeight="true" outlineLevel="0" collapsed="false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customFormat="false" ht="15" hidden="false" customHeight="true" outlineLevel="0" collapsed="false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customFormat="false" ht="15" hidden="false" customHeight="true" outlineLevel="0" collapsed="false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customFormat="false" ht="15" hidden="false" customHeight="true" outlineLevel="0" collapsed="false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customFormat="false" ht="15" hidden="false" customHeight="true" outlineLevel="0" collapsed="false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customFormat="false" ht="15" hidden="false" customHeight="true" outlineLevel="0" collapsed="false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customFormat="false" ht="15" hidden="false" customHeight="true" outlineLevel="0" collapsed="false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customFormat="false" ht="15" hidden="false" customHeight="true" outlineLevel="0" collapsed="false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customFormat="false" ht="15" hidden="false" customHeight="true" outlineLevel="0" collapsed="false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customFormat="false" ht="15" hidden="false" customHeight="true" outlineLevel="0" collapsed="false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customFormat="false" ht="15" hidden="false" customHeight="true" outlineLevel="0" collapsed="false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customFormat="false" ht="15" hidden="false" customHeight="true" outlineLevel="0" collapsed="false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customFormat="false" ht="15" hidden="false" customHeight="true" outlineLevel="0" collapsed="false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customFormat="false" ht="15" hidden="false" customHeight="true" outlineLevel="0" collapsed="false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customFormat="false" ht="15" hidden="false" customHeight="true" outlineLevel="0" collapsed="false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customFormat="false" ht="15" hidden="false" customHeight="true" outlineLevel="0" collapsed="false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customFormat="false" ht="15" hidden="false" customHeight="true" outlineLevel="0" collapsed="false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customFormat="false" ht="15" hidden="false" customHeight="true" outlineLevel="0" collapsed="false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customFormat="false" ht="15" hidden="false" customHeight="true" outlineLevel="0" collapsed="false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customFormat="false" ht="15" hidden="false" customHeight="true" outlineLevel="0" collapsed="false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customFormat="false" ht="15" hidden="false" customHeight="true" outlineLevel="0" collapsed="false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customFormat="false" ht="15" hidden="false" customHeight="true" outlineLevel="0" collapsed="false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customFormat="false" ht="15" hidden="false" customHeight="true" outlineLevel="0" collapsed="false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customFormat="false" ht="15" hidden="false" customHeight="true" outlineLevel="0" collapsed="false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customFormat="false" ht="15" hidden="false" customHeight="true" outlineLevel="0" collapsed="false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customFormat="false" ht="15" hidden="false" customHeight="true" outlineLevel="0" collapsed="false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customFormat="false" ht="15" hidden="false" customHeight="true" outlineLevel="0" collapsed="false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customFormat="false" ht="15" hidden="false" customHeight="true" outlineLevel="0" collapsed="false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customFormat="false" ht="15" hidden="false" customHeight="true" outlineLevel="0" collapsed="false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customFormat="false" ht="15" hidden="false" customHeight="true" outlineLevel="0" collapsed="false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customFormat="false" ht="15" hidden="false" customHeight="true" outlineLevel="0" collapsed="false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customFormat="false" ht="15" hidden="false" customHeight="true" outlineLevel="0" collapsed="false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customFormat="false" ht="15" hidden="false" customHeight="true" outlineLevel="0" collapsed="false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customFormat="false" ht="15" hidden="false" customHeight="true" outlineLevel="0" collapsed="false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customFormat="false" ht="15" hidden="false" customHeight="true" outlineLevel="0" collapsed="false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customFormat="false" ht="15" hidden="false" customHeight="true" outlineLevel="0" collapsed="false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customFormat="false" ht="15" hidden="false" customHeight="true" outlineLevel="0" collapsed="false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customFormat="false" ht="15" hidden="false" customHeight="true" outlineLevel="0" collapsed="false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customFormat="false" ht="15" hidden="false" customHeight="true" outlineLevel="0" collapsed="false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customFormat="false" ht="15" hidden="false" customHeight="true" outlineLevel="0" collapsed="false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customFormat="false" ht="15" hidden="false" customHeight="true" outlineLevel="0" collapsed="false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customFormat="false" ht="15" hidden="false" customHeight="true" outlineLevel="0" collapsed="false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customFormat="false" ht="15" hidden="false" customHeight="true" outlineLevel="0" collapsed="false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customFormat="false" ht="15" hidden="false" customHeight="true" outlineLevel="0" collapsed="false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customFormat="false" ht="15" hidden="false" customHeight="true" outlineLevel="0" collapsed="false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customFormat="false" ht="15" hidden="false" customHeight="true" outlineLevel="0" collapsed="false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customFormat="false" ht="15" hidden="false" customHeight="true" outlineLevel="0" collapsed="false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customFormat="false" ht="15" hidden="false" customHeight="true" outlineLevel="0" collapsed="false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customFormat="false" ht="15" hidden="false" customHeight="true" outlineLevel="0" collapsed="false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customFormat="false" ht="15" hidden="false" customHeight="true" outlineLevel="0" collapsed="false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customFormat="false" ht="15" hidden="false" customHeight="true" outlineLevel="0" collapsed="false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customFormat="false" ht="15" hidden="false" customHeight="true" outlineLevel="0" collapsed="false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customFormat="false" ht="15" hidden="false" customHeight="true" outlineLevel="0" collapsed="false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</sheetData>
  <mergeCells count="3">
    <mergeCell ref="C2:D2"/>
    <mergeCell ref="E2:F2"/>
    <mergeCell ref="H2:I2"/>
  </mergeCells>
  <conditionalFormatting sqref="B15:B16 C16 D15:D16">
    <cfRule type="cellIs" priority="2" operator="equal" aboveAverage="0" equalAverage="0" bottom="0" percent="0" rank="0" text="" dxfId="50">
      <formula>"PvCre"</formula>
    </cfRule>
    <cfRule type="cellIs" priority="3" operator="equal" aboveAverage="0" equalAverage="0" bottom="0" percent="0" rank="0" text="" dxfId="51">
      <formula>"Calb2-Cre"</formula>
    </cfRule>
    <cfRule type="cellIs" priority="4" operator="equal" aboveAverage="0" equalAverage="0" bottom="0" percent="0" rank="0" text="" dxfId="52">
      <formula>"FlCx36-KO (hom)"</formula>
    </cfRule>
    <cfRule type="cellIs" priority="5" operator="equal" aboveAverage="0" equalAverage="0" bottom="0" percent="0" rank="0" text="" dxfId="53">
      <formula>"FLCx36KO_Cx36FLX_PvCre"</formula>
    </cfRule>
    <cfRule type="cellIs" priority="6" operator="equal" aboveAverage="0" equalAverage="0" bottom="0" percent="0" rank="0" text="" dxfId="54">
      <formula>"PVCre?"</formula>
    </cfRule>
    <cfRule type="cellIs" priority="7" operator="equal" aboveAverage="0" equalAverage="0" bottom="0" percent="0" rank="0" text="" dxfId="55">
      <formula>"FlCx36-KO x PVCre"</formula>
    </cfRule>
    <cfRule type="cellIs" priority="8" operator="equal" aboveAverage="0" equalAverage="0" bottom="0" percent="0" rank="0" text="" dxfId="56">
      <formula>"GCaMP3Thy1"</formula>
    </cfRule>
    <cfRule type="cellIs" priority="9" operator="equal" aboveAverage="0" equalAverage="0" bottom="0" percent="0" rank="0" text="" dxfId="57">
      <formula>"TdTom - Flox"</formula>
    </cfRule>
    <cfRule type="cellIs" priority="10" operator="equal" aboveAverage="0" equalAverage="0" bottom="0" percent="0" rank="0" text="" dxfId="58">
      <formula>"Bl6"</formula>
    </cfRule>
    <cfRule type="expression" priority="11" aboveAverage="0" equalAverage="0" bottom="0" percent="0" rank="0" text="" dxfId="59">
      <formula>LEN(TRIM(B15))=0</formula>
    </cfRule>
  </conditionalFormatting>
  <conditionalFormatting sqref="B2:J2">
    <cfRule type="expression" priority="12" aboveAverage="0" equalAverage="0" bottom="0" percent="0" rank="0" text="" dxfId="73">
      <formula>LEN(TRIM(B2))&gt;0</formula>
    </cfRule>
  </conditionalFormatting>
  <conditionalFormatting sqref="B3:J3">
    <cfRule type="expression" priority="13" aboveAverage="0" equalAverage="0" bottom="0" percent="0" rank="0" text="" dxfId="74">
      <formula>LEN(TRIM(B3))&gt;0</formula>
    </cfRule>
  </conditionalFormatting>
  <conditionalFormatting sqref="B3">
    <cfRule type="expression" priority="14" aboveAverage="0" equalAverage="0" bottom="0" percent="0" rank="0" text="" dxfId="75">
      <formula>LEN(TRIM(B3))&gt;0</formula>
    </cfRule>
  </conditionalFormatting>
  <conditionalFormatting sqref="B16 C4:D16 C19:D21 C25:C27 E11">
    <cfRule type="expression" priority="15" aboveAverage="0" equalAverage="0" bottom="0" percent="0" rank="0" text="" dxfId="76">
      <formula>LEN(TRIM(B16))&gt;0</formula>
    </cfRule>
  </conditionalFormatting>
  <conditionalFormatting sqref="B16 C15:D16 E4:F16 E19:F21">
    <cfRule type="expression" priority="16" aboveAverage="0" equalAverage="0" bottom="0" percent="0" rank="0" text="" dxfId="77">
      <formula>LEN(TRIM(B16))&gt;0</formula>
    </cfRule>
  </conditionalFormatting>
  <conditionalFormatting sqref="H4:I16 H19:I21">
    <cfRule type="expression" priority="17" aboveAverage="0" equalAverage="0" bottom="0" percent="0" rank="0" text="" dxfId="78">
      <formula>LEN(TRIM(H4))&gt;0</formula>
    </cfRule>
  </conditionalFormatting>
  <conditionalFormatting sqref="B4:B16 B19:B21">
    <cfRule type="expression" priority="18" aboveAverage="0" equalAverage="0" bottom="0" percent="0" rank="0" text="" dxfId="79">
      <formula>LEN(TRIM(B4))&gt;0</formula>
    </cfRule>
  </conditionalFormatting>
  <conditionalFormatting sqref="F16 G4:G16 G19:G21">
    <cfRule type="expression" priority="19" aboveAverage="0" equalAverage="0" bottom="0" percent="0" rank="0" text="" dxfId="80">
      <formula>LEN(TRIM(F16))&gt;0</formula>
    </cfRule>
  </conditionalFormatting>
  <conditionalFormatting sqref="J4:J16 J19:J21">
    <cfRule type="expression" priority="20" aboveAverage="0" equalAverage="0" bottom="0" percent="0" rank="0" text="" dxfId="49">
      <formula>LEN(TRIM(J4))&gt;0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2026-10-25T18:17:19Z</dcterms:created>
  <dc:creator>openpyxl</dc:creator>
  <dc:description/>
  <dc:language>en-US</dc:language>
  <cp:lastModifiedBy/>
  <dcterms:modified xsi:type="dcterms:W3CDTF">2026-10-26T07:36:10Z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